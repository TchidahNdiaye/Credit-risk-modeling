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chidah Ndiaye\Anaconda3\Téléchargements\"/>
    </mc:Choice>
  </mc:AlternateContent>
  <bookViews>
    <workbookView xWindow="0" yWindow="0" windowWidth="24000" windowHeight="9600"/>
  </bookViews>
  <sheets>
    <sheet name="PNL_REVERSE_S2_STRICT" sheetId="1" r:id="rId1"/>
    <sheet name="DICHOTOMIE_k" sheetId="2" r:id="rId2"/>
    <sheet name="MODE_OPERATOIRE" sheetId="3" r:id="rId3"/>
  </sheets>
  <calcPr calcId="162913"/>
  <fileRecoveryPr repairLoad="1"/>
</workbook>
</file>

<file path=xl/calcChain.xml><?xml version="1.0" encoding="utf-8"?>
<calcChain xmlns="http://schemas.openxmlformats.org/spreadsheetml/2006/main">
  <c r="F15" i="2" l="1"/>
  <c r="G15" i="2" s="1"/>
  <c r="F13" i="2"/>
  <c r="G13" i="2" s="1"/>
  <c r="F11" i="2"/>
  <c r="G11" i="2" s="1"/>
  <c r="F9" i="2"/>
  <c r="G9" i="2" s="1"/>
  <c r="F7" i="2"/>
  <c r="G7" i="2" s="1"/>
  <c r="I20" i="1"/>
  <c r="J20" i="1" s="1"/>
  <c r="H20" i="1"/>
  <c r="K20" i="1" s="1"/>
  <c r="L20" i="1" s="1"/>
  <c r="G20" i="1"/>
  <c r="F20" i="1"/>
  <c r="I19" i="1"/>
  <c r="J19" i="1" s="1"/>
  <c r="H19" i="1"/>
  <c r="K19" i="1" s="1"/>
  <c r="L19" i="1" s="1"/>
  <c r="G19" i="1"/>
  <c r="F19" i="1"/>
  <c r="I18" i="1"/>
  <c r="J18" i="1" s="1"/>
  <c r="H18" i="1"/>
  <c r="K18" i="1" s="1"/>
  <c r="L18" i="1" s="1"/>
  <c r="G18" i="1"/>
  <c r="F18" i="1"/>
  <c r="I17" i="1"/>
  <c r="J17" i="1" s="1"/>
  <c r="H17" i="1"/>
  <c r="K17" i="1" s="1"/>
  <c r="L17" i="1" s="1"/>
  <c r="G17" i="1"/>
  <c r="F17" i="1"/>
  <c r="I16" i="1"/>
  <c r="J16" i="1" s="1"/>
  <c r="H16" i="1"/>
  <c r="K16" i="1" s="1"/>
  <c r="L16" i="1" s="1"/>
  <c r="G16" i="1"/>
  <c r="F16" i="1"/>
  <c r="I15" i="1"/>
  <c r="J15" i="1" s="1"/>
  <c r="H15" i="1"/>
  <c r="K15" i="1" s="1"/>
  <c r="L15" i="1" s="1"/>
  <c r="G15" i="1"/>
  <c r="F15" i="1"/>
  <c r="B7" i="1"/>
  <c r="F14" i="2" s="1"/>
  <c r="G14" i="2" s="1"/>
  <c r="L21" i="1"/>
  <c r="B9" i="1"/>
  <c r="M21" i="1"/>
  <c r="J21" i="1"/>
  <c r="N21" i="1"/>
  <c r="B10" i="1" l="1"/>
  <c r="B11" i="1" s="1"/>
  <c r="M15" i="1"/>
  <c r="M16" i="1"/>
  <c r="M17" i="1"/>
  <c r="M18" i="1"/>
  <c r="M19" i="1"/>
  <c r="M20" i="1"/>
  <c r="F6" i="2"/>
  <c r="G6" i="2" s="1"/>
  <c r="F8" i="2"/>
  <c r="G8" i="2" s="1"/>
  <c r="F10" i="2"/>
  <c r="G10" i="2" s="1"/>
  <c r="F12" i="2"/>
  <c r="G12" i="2" s="1"/>
</calcChain>
</file>

<file path=xl/sharedStrings.xml><?xml version="1.0" encoding="utf-8"?>
<sst xmlns="http://schemas.openxmlformats.org/spreadsheetml/2006/main" count="49" uniqueCount="49">
  <si>
    <t>Reverse Stress Test P&amp;L (proxy) — Solvabilité II stricte (EIOPA DOWN) : annuler le RCAI</t>
  </si>
  <si>
    <t>Hypothèse P&amp;L proxy : ΔRCAI ≈ PV_stress − PV0 (MtM/EVE net) ; objectif : RCAI0 + ΔRCAI = 0</t>
  </si>
  <si>
    <t>RCAI0 (M€)</t>
  </si>
  <si>
    <t>PV0 (M€)</t>
  </si>
  <si>
    <t>PV cible = PV0 - RCAI0 (M€)</t>
  </si>
  <si>
    <t>k (multiplicateur EIOPA DOWN)</t>
  </si>
  <si>
    <t>PV_down(k) (M€)</t>
  </si>
  <si>
    <t>ΔRCAI(k) = PV_down - PV0 (M€)</t>
  </si>
  <si>
    <t>RCAI stressé = RCAI0 + ΔRCAI (M€)</t>
  </si>
  <si>
    <t>Bucket</t>
  </si>
  <si>
    <t>T (ans)</t>
  </si>
  <si>
    <t>r0(T)</t>
  </si>
  <si>
    <t>CF net (M€)</t>
  </si>
  <si>
    <t>Facteur EIOPA DOWN</t>
  </si>
  <si>
    <t>k</t>
  </si>
  <si>
    <t>Δr_down = r0*Fact* k</t>
  </si>
  <si>
    <t>r_down = r0 - Δr_down</t>
  </si>
  <si>
    <t>DF0 = 1/(1+r0)^T</t>
  </si>
  <si>
    <t>PV0 bucket (M€)</t>
  </si>
  <si>
    <t>DF_down = 1/(1+r_down)^T</t>
  </si>
  <si>
    <t>PV_down bucket (M€)</t>
  </si>
  <si>
    <t>ΔPV bucket (M€)</t>
  </si>
  <si>
    <t>Perte contrib (M€)</t>
  </si>
  <si>
    <t>&lt; 1 an</t>
  </si>
  <si>
    <t>1 à 5 ans</t>
  </si>
  <si>
    <t>6 à 10 ans</t>
  </si>
  <si>
    <t>11 à 15 ans</t>
  </si>
  <si>
    <t>&gt; 15 ans</t>
  </si>
  <si>
    <t>Indéterminé</t>
  </si>
  <si>
    <t>TOTAL</t>
  </si>
  <si>
    <t>Itérations dichotomie (bisection) sur k pour atteindre PV cible = PV0 - RCAI0</t>
  </si>
  <si>
    <t>On cherche k tel que PV_down(k) = PV_cible. Fonction : g(k)=PV_down(k)-PV_cible.</t>
  </si>
  <si>
    <t>it</t>
  </si>
  <si>
    <t>k_a</t>
  </si>
  <si>
    <t>k_b</t>
  </si>
  <si>
    <t>k_m</t>
  </si>
  <si>
    <t>PV_down(k_m)</t>
  </si>
  <si>
    <t>PV cible</t>
  </si>
  <si>
    <t>g(k_m)</t>
  </si>
  <si>
    <t>Décision</t>
  </si>
  <si>
    <t>Mode opératoire Excel (Valeur cible) — obtenir k* automatiquement</t>
  </si>
  <si>
    <t>1) Dans l’onglet PNL_REVERSE_S2_STRICT, mets une valeur initiale de k en B8 (ex : 1).</t>
  </si>
  <si>
    <t>2) Vérifie que B11 (RCAI stressé) se calcule.</t>
  </si>
  <si>
    <t>3) Données &gt; Analyse de scénarios &gt; Valeur cible :</t>
  </si>
  <si>
    <t xml:space="preserve">   • Définir la cellule : B11 (RCAI stressé)</t>
  </si>
  <si>
    <t xml:space="preserve">   • À la valeur : 0</t>
  </si>
  <si>
    <t xml:space="preserve">   • En modifiant la cellule : B8 (k)</t>
  </si>
  <si>
    <t>4) Excel renvoie k* ≈ 4,2742 (avec ces données).</t>
  </si>
  <si>
    <t>Interprétation : le stress est appliqué via r_down = r0 − r0*FacteurDown(T)*k ; puis PV_down est recalculée par actualisation.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</si>
</sst>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%"/>
    <numFmt numFmtId="165" formatCode="0.000000"/>
    <numFmt numFmtId="166" formatCode="#,##0.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4" fontId="0" fillId="0" borderId="1" xfId="0" applyNumberFormat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3" fillId="0" borderId="1" xfId="0" applyFont="1" applyBorder="1"/>
    <xf numFmtId="0" fontId="4" fillId="0" borderId="0" xfId="0" applyFont="1"/>
    <xf numFmtId="165" fontId="0" fillId="0" borderId="1" xfId="0" applyNumberFormat="1" applyBorder="1"/>
    <xf numFmtId="166" fontId="0" fillId="0" borderId="1" xfId="0" applyNumberFormat="1" applyBorder="1"/>
    <xf numFmtId="0" fontId="0" fillId="0" borderId="0" xfId="0" applyAlignment="1">
      <alignment wrapText="1"/>
    </xf>
    <xf numFmtId="0" fontId="0" fillId="0" borderId="0" xfId="0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workbookViewId="0">
      <pane ySplit="14" topLeftCell="A15" activePane="bottomLeft" state="frozen"/>
      <selection pane="bottomLeft" activeCell="J21" sqref="J21:N21"/>
    </sheetView>
  </sheetViews>
  <sheetFormatPr baseColWidth="10" defaultColWidth="9.140625" defaultRowHeight="15" x14ac:dyDescent="0.25"/>
  <cols>
    <col min="1" max="1" width="18.85546875" customWidth="1"/>
    <col min="2" max="2" width="11.85546875" customWidth="1"/>
    <col min="3" max="3" width="10" customWidth="1"/>
    <col min="4" max="4" width="14" customWidth="1"/>
    <col min="5" max="5" width="18" customWidth="1"/>
    <col min="6" max="6" width="10.42578125" customWidth="1"/>
    <col min="7" max="7" width="16" customWidth="1"/>
    <col min="8" max="8" width="14" customWidth="1"/>
    <col min="9" max="10" width="16" customWidth="1"/>
    <col min="11" max="12" width="18" customWidth="1"/>
    <col min="13" max="14" width="16" customWidth="1"/>
  </cols>
  <sheetData>
    <row r="1" spans="1:14" ht="18.75" x14ac:dyDescent="0.3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spans="1:14" x14ac:dyDescent="0.25">
      <c r="A3" s="14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5" spans="1:14" x14ac:dyDescent="0.25">
      <c r="A5" s="2" t="s">
        <v>2</v>
      </c>
      <c r="B5" s="3">
        <v>2686</v>
      </c>
    </row>
    <row r="6" spans="1:14" x14ac:dyDescent="0.25">
      <c r="A6" s="2" t="s">
        <v>3</v>
      </c>
      <c r="B6" s="3">
        <v>21897.3</v>
      </c>
    </row>
    <row r="7" spans="1:14" x14ac:dyDescent="0.25">
      <c r="A7" s="2" t="s">
        <v>4</v>
      </c>
      <c r="B7" s="3">
        <f>B6-B5</f>
        <v>19211.3</v>
      </c>
    </row>
    <row r="8" spans="1:14" x14ac:dyDescent="0.25">
      <c r="A8" s="2" t="s">
        <v>5</v>
      </c>
      <c r="B8" s="3">
        <v>4.2742046</v>
      </c>
    </row>
    <row r="9" spans="1:14" x14ac:dyDescent="0.25">
      <c r="A9" s="2" t="s">
        <v>6</v>
      </c>
      <c r="B9" s="3" t="e">
        <f ca="1">SOMME(M15:M20)</f>
        <v>#NAME?</v>
      </c>
    </row>
    <row r="10" spans="1:14" x14ac:dyDescent="0.25">
      <c r="A10" s="2" t="s">
        <v>7</v>
      </c>
      <c r="B10" s="3" t="e">
        <f ca="1">B9-B6</f>
        <v>#NAME?</v>
      </c>
    </row>
    <row r="11" spans="1:14" x14ac:dyDescent="0.25">
      <c r="A11" s="2" t="s">
        <v>8</v>
      </c>
      <c r="B11" s="3" t="e">
        <f ca="1">B5+B10</f>
        <v>#NAME?</v>
      </c>
    </row>
    <row r="14" spans="1:14" ht="30" x14ac:dyDescent="0.25">
      <c r="A14" s="4" t="s">
        <v>9</v>
      </c>
      <c r="B14" s="4" t="s">
        <v>10</v>
      </c>
      <c r="C14" s="4" t="s">
        <v>11</v>
      </c>
      <c r="D14" s="4" t="s">
        <v>12</v>
      </c>
      <c r="E14" s="4" t="s">
        <v>13</v>
      </c>
      <c r="F14" s="4" t="s">
        <v>14</v>
      </c>
      <c r="G14" s="4" t="s">
        <v>15</v>
      </c>
      <c r="H14" s="4" t="s">
        <v>16</v>
      </c>
      <c r="I14" s="4" t="s">
        <v>17</v>
      </c>
      <c r="J14" s="4" t="s">
        <v>18</v>
      </c>
      <c r="K14" s="4" t="s">
        <v>19</v>
      </c>
      <c r="L14" s="4" t="s">
        <v>20</v>
      </c>
      <c r="M14" s="4" t="s">
        <v>21</v>
      </c>
      <c r="N14" s="4" t="s">
        <v>22</v>
      </c>
    </row>
    <row r="15" spans="1:14" x14ac:dyDescent="0.25">
      <c r="A15" s="5" t="s">
        <v>23</v>
      </c>
      <c r="B15" s="6">
        <v>0.5</v>
      </c>
      <c r="C15" s="7">
        <v>0.03</v>
      </c>
      <c r="D15" s="8">
        <v>9235.19</v>
      </c>
      <c r="E15" s="6">
        <v>0.75</v>
      </c>
      <c r="F15" s="9">
        <f t="shared" ref="F15:F20" si="0">$B$8</f>
        <v>4.2742046</v>
      </c>
      <c r="G15" s="7">
        <f t="shared" ref="G15:G20" si="1">C15*E15*F15</f>
        <v>9.6169603499999992E-2</v>
      </c>
      <c r="H15" s="7">
        <f t="shared" ref="H15:H20" si="2">C15-G15</f>
        <v>-6.6169603499999993E-2</v>
      </c>
      <c r="I15" s="9">
        <f t="shared" ref="I15:I20" si="3">1/(1+C15)^B15</f>
        <v>0.98532927816429317</v>
      </c>
      <c r="J15" s="8">
        <f t="shared" ref="J15:J20" si="4">D15*I15</f>
        <v>9099.7030964100995</v>
      </c>
      <c r="K15" s="9">
        <f t="shared" ref="K15:K20" si="5">1/(1+H15)^B15</f>
        <v>1.0348228190986488</v>
      </c>
      <c r="L15" s="8">
        <f t="shared" ref="L15:L20" si="6">D15*K15</f>
        <v>9556.7853507116506</v>
      </c>
      <c r="M15" s="8">
        <f t="shared" ref="M15:M20" si="7">L15-J15</f>
        <v>457.08225430155107</v>
      </c>
      <c r="N15" s="8"/>
    </row>
    <row r="16" spans="1:14" x14ac:dyDescent="0.25">
      <c r="A16" s="5" t="s">
        <v>24</v>
      </c>
      <c r="B16" s="6">
        <v>3</v>
      </c>
      <c r="C16" s="7">
        <v>2.8000000000000001E-2</v>
      </c>
      <c r="D16" s="8">
        <v>813.2</v>
      </c>
      <c r="E16" s="6">
        <v>0.56000000000000005</v>
      </c>
      <c r="F16" s="9">
        <f t="shared" si="0"/>
        <v>4.2742046</v>
      </c>
      <c r="G16" s="7">
        <f t="shared" si="1"/>
        <v>6.7019528128000008E-2</v>
      </c>
      <c r="H16" s="7">
        <f t="shared" si="2"/>
        <v>-3.9019528128000011E-2</v>
      </c>
      <c r="I16" s="9">
        <f t="shared" si="3"/>
        <v>0.92049335144589328</v>
      </c>
      <c r="J16" s="8">
        <f t="shared" si="4"/>
        <v>748.54519339580042</v>
      </c>
      <c r="K16" s="9">
        <f t="shared" si="5"/>
        <v>1.1268245820105793</v>
      </c>
      <c r="L16" s="8">
        <f t="shared" si="6"/>
        <v>916.33375009100314</v>
      </c>
      <c r="M16" s="8">
        <f t="shared" si="7"/>
        <v>167.78855669520271</v>
      </c>
      <c r="N16" s="8"/>
    </row>
    <row r="17" spans="1:14" x14ac:dyDescent="0.25">
      <c r="A17" s="5" t="s">
        <v>25</v>
      </c>
      <c r="B17" s="6">
        <v>8</v>
      </c>
      <c r="C17" s="7">
        <v>2.9000000000000001E-2</v>
      </c>
      <c r="D17" s="8">
        <v>37564.050000000003</v>
      </c>
      <c r="E17" s="6">
        <v>0.36</v>
      </c>
      <c r="F17" s="9">
        <f t="shared" si="0"/>
        <v>4.2742046</v>
      </c>
      <c r="G17" s="7">
        <f t="shared" si="1"/>
        <v>4.4622696024E-2</v>
      </c>
      <c r="H17" s="7">
        <f t="shared" si="2"/>
        <v>-1.5622696023999998E-2</v>
      </c>
      <c r="I17" s="9">
        <f t="shared" si="3"/>
        <v>0.79556744247617017</v>
      </c>
      <c r="J17" s="8">
        <f t="shared" si="4"/>
        <v>29884.735187546983</v>
      </c>
      <c r="K17" s="9">
        <f t="shared" si="5"/>
        <v>1.1342460208636929</v>
      </c>
      <c r="L17" s="8">
        <f t="shared" si="6"/>
        <v>42606.874240024808</v>
      </c>
      <c r="M17" s="8">
        <f t="shared" si="7"/>
        <v>12722.139052477825</v>
      </c>
      <c r="N17" s="8"/>
    </row>
    <row r="18" spans="1:14" x14ac:dyDescent="0.25">
      <c r="A18" s="5" t="s">
        <v>26</v>
      </c>
      <c r="B18" s="6">
        <v>13</v>
      </c>
      <c r="C18" s="7">
        <v>2.9000000000000001E-2</v>
      </c>
      <c r="D18" s="8">
        <v>-7100.4</v>
      </c>
      <c r="E18" s="6">
        <v>0.28000000000000003</v>
      </c>
      <c r="F18" s="9">
        <f t="shared" si="0"/>
        <v>4.2742046</v>
      </c>
      <c r="G18" s="7">
        <f t="shared" si="1"/>
        <v>3.4706541351999999E-2</v>
      </c>
      <c r="H18" s="7">
        <f t="shared" si="2"/>
        <v>-5.7065413519999976E-3</v>
      </c>
      <c r="I18" s="9">
        <f t="shared" si="3"/>
        <v>0.68960456555176597</v>
      </c>
      <c r="J18" s="8">
        <f t="shared" si="4"/>
        <v>-4896.4682572437587</v>
      </c>
      <c r="K18" s="9">
        <f t="shared" si="5"/>
        <v>1.077234938842323</v>
      </c>
      <c r="L18" s="8">
        <f t="shared" si="6"/>
        <v>-7648.7989597560299</v>
      </c>
      <c r="M18" s="8">
        <f t="shared" si="7"/>
        <v>-2752.3307025122713</v>
      </c>
      <c r="N18" s="8"/>
    </row>
    <row r="19" spans="1:14" x14ac:dyDescent="0.25">
      <c r="A19" s="5" t="s">
        <v>27</v>
      </c>
      <c r="B19" s="6">
        <v>20</v>
      </c>
      <c r="C19" s="7">
        <v>2.9000000000000001E-2</v>
      </c>
      <c r="D19" s="8">
        <v>2669.1</v>
      </c>
      <c r="E19" s="6">
        <v>0.28999999999999998</v>
      </c>
      <c r="F19" s="9">
        <f t="shared" si="0"/>
        <v>4.2742046</v>
      </c>
      <c r="G19" s="7">
        <f t="shared" si="1"/>
        <v>3.5946060685999995E-2</v>
      </c>
      <c r="H19" s="7">
        <f t="shared" si="2"/>
        <v>-6.9460606859999934E-3</v>
      </c>
      <c r="I19" s="9">
        <f t="shared" si="3"/>
        <v>0.56453712181145022</v>
      </c>
      <c r="J19" s="8">
        <f t="shared" si="4"/>
        <v>1506.8060318269418</v>
      </c>
      <c r="K19" s="9">
        <f t="shared" si="5"/>
        <v>1.149590666946551</v>
      </c>
      <c r="L19" s="8">
        <f t="shared" si="6"/>
        <v>3068.3724491470393</v>
      </c>
      <c r="M19" s="8">
        <f t="shared" si="7"/>
        <v>1561.5664173200976</v>
      </c>
      <c r="N19" s="8"/>
    </row>
    <row r="20" spans="1:14" x14ac:dyDescent="0.25">
      <c r="A20" s="5" t="s">
        <v>28</v>
      </c>
      <c r="B20" s="6">
        <v>30</v>
      </c>
      <c r="C20" s="7">
        <v>2.8000000000000001E-2</v>
      </c>
      <c r="D20" s="8">
        <v>-33078.15</v>
      </c>
      <c r="E20" s="6">
        <v>0.2</v>
      </c>
      <c r="F20" s="9">
        <f t="shared" si="0"/>
        <v>4.2742046</v>
      </c>
      <c r="G20" s="7">
        <f t="shared" si="1"/>
        <v>2.3935545760000003E-2</v>
      </c>
      <c r="H20" s="7">
        <f t="shared" si="2"/>
        <v>4.0644542399999976E-3</v>
      </c>
      <c r="I20" s="9">
        <f t="shared" si="3"/>
        <v>0.43672349836805907</v>
      </c>
      <c r="J20" s="8">
        <f t="shared" si="4"/>
        <v>-14446.005387543413</v>
      </c>
      <c r="K20" s="9">
        <f t="shared" si="5"/>
        <v>0.88542590621705752</v>
      </c>
      <c r="L20" s="8">
        <f t="shared" si="6"/>
        <v>-29288.250939733764</v>
      </c>
      <c r="M20" s="8">
        <f t="shared" si="7"/>
        <v>-14842.24555219035</v>
      </c>
      <c r="N20" s="8"/>
    </row>
    <row r="21" spans="1:14" ht="18" customHeight="1" x14ac:dyDescent="0.25">
      <c r="A21" s="10" t="s">
        <v>29</v>
      </c>
      <c r="B21" s="2"/>
      <c r="C21" s="2"/>
      <c r="D21" s="2"/>
      <c r="E21" s="2"/>
      <c r="F21" s="2"/>
      <c r="G21" s="2"/>
      <c r="H21" s="2"/>
      <c r="I21" s="2"/>
      <c r="J21" s="3" t="e">
        <f ca="1">SOMME(J15:J20)</f>
        <v>#NAME?</v>
      </c>
      <c r="K21" s="2"/>
      <c r="L21" s="3" t="e">
        <f ca="1">SOMME(L15:L20)</f>
        <v>#NAME?</v>
      </c>
      <c r="M21" s="3" t="e">
        <f ca="1">SOMME(M15:M20)</f>
        <v>#NAME?</v>
      </c>
      <c r="N21" s="3" t="e">
        <f ca="1">SOMME(N15:N20)</f>
        <v>#NAME?</v>
      </c>
    </row>
  </sheetData>
  <mergeCells count="2">
    <mergeCell ref="A3:N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5" topLeftCell="A6" activePane="bottomLeft" state="frozen"/>
      <selection pane="bottomLeft" sqref="A1:H1"/>
    </sheetView>
  </sheetViews>
  <sheetFormatPr baseColWidth="10" defaultColWidth="9.140625" defaultRowHeight="15" x14ac:dyDescent="0.25"/>
  <cols>
    <col min="1" max="1" width="6" customWidth="1"/>
    <col min="2" max="4" width="12" customWidth="1"/>
    <col min="5" max="5" width="16" customWidth="1"/>
    <col min="6" max="7" width="12" customWidth="1"/>
    <col min="8" max="8" width="28" customWidth="1"/>
  </cols>
  <sheetData>
    <row r="1" spans="1:8" ht="17.25" x14ac:dyDescent="0.3">
      <c r="A1" s="17" t="s">
        <v>30</v>
      </c>
      <c r="B1" s="15"/>
      <c r="C1" s="15"/>
      <c r="D1" s="15"/>
      <c r="E1" s="15"/>
      <c r="F1" s="15"/>
      <c r="G1" s="15"/>
      <c r="H1" s="15"/>
    </row>
    <row r="3" spans="1:8" x14ac:dyDescent="0.25">
      <c r="A3" s="14" t="s">
        <v>31</v>
      </c>
      <c r="B3" s="15"/>
      <c r="C3" s="15"/>
      <c r="D3" s="15"/>
      <c r="E3" s="15"/>
      <c r="F3" s="15"/>
      <c r="G3" s="15"/>
      <c r="H3" s="15"/>
    </row>
    <row r="5" spans="1:8" x14ac:dyDescent="0.25">
      <c r="A5" s="4" t="s">
        <v>32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</row>
    <row r="6" spans="1:8" x14ac:dyDescent="0.25">
      <c r="A6" s="2">
        <v>1</v>
      </c>
      <c r="B6" s="12">
        <v>4</v>
      </c>
      <c r="C6" s="12">
        <v>5</v>
      </c>
      <c r="D6" s="12">
        <v>4.5</v>
      </c>
      <c r="E6" s="13">
        <v>18878.3</v>
      </c>
      <c r="F6" s="13">
        <f>PNL_REVERSE_S2_STRICT!$B$7</f>
        <v>19211.3</v>
      </c>
      <c r="G6" s="13">
        <f t="shared" ref="G6:G15" si="0">E6-F6</f>
        <v>-333</v>
      </c>
      <c r="H6" s="2"/>
    </row>
    <row r="7" spans="1:8" x14ac:dyDescent="0.25">
      <c r="A7" s="2">
        <v>2</v>
      </c>
      <c r="B7" s="12">
        <v>4</v>
      </c>
      <c r="C7" s="12">
        <v>4.5</v>
      </c>
      <c r="D7" s="12">
        <v>4.25</v>
      </c>
      <c r="E7" s="13">
        <v>19245.5</v>
      </c>
      <c r="F7" s="13">
        <f>PNL_REVERSE_S2_STRICT!$B$7</f>
        <v>19211.3</v>
      </c>
      <c r="G7" s="13">
        <f t="shared" si="0"/>
        <v>34.200000000000728</v>
      </c>
      <c r="H7" s="2"/>
    </row>
    <row r="8" spans="1:8" x14ac:dyDescent="0.25">
      <c r="A8" s="2">
        <v>3</v>
      </c>
      <c r="B8" s="12">
        <v>4.25</v>
      </c>
      <c r="C8" s="12">
        <v>4.5</v>
      </c>
      <c r="D8" s="12">
        <v>4.375</v>
      </c>
      <c r="E8" s="13">
        <v>19065.900000000001</v>
      </c>
      <c r="F8" s="13">
        <f>PNL_REVERSE_S2_STRICT!$B$7</f>
        <v>19211.3</v>
      </c>
      <c r="G8" s="13">
        <f t="shared" si="0"/>
        <v>-145.39999999999782</v>
      </c>
      <c r="H8" s="2"/>
    </row>
    <row r="9" spans="1:8" x14ac:dyDescent="0.25">
      <c r="A9" s="2">
        <v>4</v>
      </c>
      <c r="B9" s="12">
        <v>4.25</v>
      </c>
      <c r="C9" s="12">
        <v>4.375</v>
      </c>
      <c r="D9" s="12">
        <v>4.3125</v>
      </c>
      <c r="E9" s="13">
        <v>19156.7</v>
      </c>
      <c r="F9" s="13">
        <f>PNL_REVERSE_S2_STRICT!$B$7</f>
        <v>19211.3</v>
      </c>
      <c r="G9" s="13">
        <f t="shared" si="0"/>
        <v>-54.599999999998545</v>
      </c>
      <c r="H9" s="2"/>
    </row>
    <row r="10" spans="1:8" x14ac:dyDescent="0.25">
      <c r="A10" s="2">
        <v>5</v>
      </c>
      <c r="B10" s="12">
        <v>4.25</v>
      </c>
      <c r="C10" s="12">
        <v>4.3125</v>
      </c>
      <c r="D10" s="12">
        <v>4.28125</v>
      </c>
      <c r="E10" s="13">
        <v>19201.3</v>
      </c>
      <c r="F10" s="13">
        <f>PNL_REVERSE_S2_STRICT!$B$7</f>
        <v>19211.3</v>
      </c>
      <c r="G10" s="13">
        <f t="shared" si="0"/>
        <v>-10</v>
      </c>
      <c r="H10" s="2"/>
    </row>
    <row r="11" spans="1:8" x14ac:dyDescent="0.25">
      <c r="A11" s="2">
        <v>6</v>
      </c>
      <c r="B11" s="12">
        <v>4.25</v>
      </c>
      <c r="C11" s="12">
        <v>4.28125</v>
      </c>
      <c r="D11" s="12">
        <v>4.265625</v>
      </c>
      <c r="E11" s="13">
        <v>19223.5</v>
      </c>
      <c r="F11" s="13">
        <f>PNL_REVERSE_S2_STRICT!$B$7</f>
        <v>19211.3</v>
      </c>
      <c r="G11" s="13">
        <f t="shared" si="0"/>
        <v>12.200000000000728</v>
      </c>
      <c r="H11" s="2"/>
    </row>
    <row r="12" spans="1:8" x14ac:dyDescent="0.25">
      <c r="A12" s="2">
        <v>7</v>
      </c>
      <c r="B12" s="12">
        <v>4.265625</v>
      </c>
      <c r="C12" s="12">
        <v>4.28125</v>
      </c>
      <c r="D12" s="12">
        <v>4.2734375</v>
      </c>
      <c r="E12" s="13">
        <v>19212.400000000001</v>
      </c>
      <c r="F12" s="13">
        <f>PNL_REVERSE_S2_STRICT!$B$7</f>
        <v>19211.3</v>
      </c>
      <c r="G12" s="13">
        <f t="shared" si="0"/>
        <v>1.1000000000021828</v>
      </c>
      <c r="H12" s="2"/>
    </row>
    <row r="13" spans="1:8" x14ac:dyDescent="0.25">
      <c r="A13" s="2">
        <v>8</v>
      </c>
      <c r="B13" s="12">
        <v>4.2734375</v>
      </c>
      <c r="C13" s="12">
        <v>4.28125</v>
      </c>
      <c r="D13" s="12">
        <v>4.27734375</v>
      </c>
      <c r="E13" s="13">
        <v>19206.900000000001</v>
      </c>
      <c r="F13" s="13">
        <f>PNL_REVERSE_S2_STRICT!$B$7</f>
        <v>19211.3</v>
      </c>
      <c r="G13" s="13">
        <f t="shared" si="0"/>
        <v>-4.3999999999978172</v>
      </c>
      <c r="H13" s="2"/>
    </row>
    <row r="14" spans="1:8" x14ac:dyDescent="0.25">
      <c r="A14" s="2">
        <v>9</v>
      </c>
      <c r="B14" s="12">
        <v>4.2734375</v>
      </c>
      <c r="C14" s="12">
        <v>4.27734375</v>
      </c>
      <c r="D14" s="12">
        <v>4.275390625</v>
      </c>
      <c r="E14" s="13">
        <v>19209.599999999999</v>
      </c>
      <c r="F14" s="13">
        <f>PNL_REVERSE_S2_STRICT!$B$7</f>
        <v>19211.3</v>
      </c>
      <c r="G14" s="13">
        <f t="shared" si="0"/>
        <v>-1.7000000000007276</v>
      </c>
      <c r="H14" s="2"/>
    </row>
    <row r="15" spans="1:8" x14ac:dyDescent="0.25">
      <c r="A15" s="2">
        <v>10</v>
      </c>
      <c r="B15" s="12">
        <v>4.2734375</v>
      </c>
      <c r="C15" s="12">
        <v>4.275390625</v>
      </c>
      <c r="D15" s="12">
        <v>4.2744140625</v>
      </c>
      <c r="E15" s="13">
        <v>19211</v>
      </c>
      <c r="F15" s="13">
        <f>PNL_REVERSE_S2_STRICT!$B$7</f>
        <v>19211.3</v>
      </c>
      <c r="G15" s="13">
        <f t="shared" si="0"/>
        <v>-0.2999999999992724</v>
      </c>
      <c r="H15" s="2"/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baseColWidth="10" defaultColWidth="9.140625" defaultRowHeight="15" x14ac:dyDescent="0.25"/>
  <cols>
    <col min="1" max="1" width="100" customWidth="1"/>
  </cols>
  <sheetData>
    <row r="1" spans="1:8" ht="17.25" x14ac:dyDescent="0.3">
      <c r="A1" s="11" t="s">
        <v>40</v>
      </c>
    </row>
    <row r="3" spans="1:8" x14ac:dyDescent="0.25">
      <c r="A3" s="1" t="s">
        <v>41</v>
      </c>
    </row>
    <row r="4" spans="1:8" x14ac:dyDescent="0.25">
      <c r="A4" s="1" t="s">
        <v>42</v>
      </c>
    </row>
    <row r="5" spans="1:8" x14ac:dyDescent="0.25">
      <c r="A5" s="1" t="s">
        <v>43</v>
      </c>
    </row>
    <row r="6" spans="1:8" x14ac:dyDescent="0.25">
      <c r="A6" s="1" t="s">
        <v>44</v>
      </c>
    </row>
    <row r="7" spans="1:8" x14ac:dyDescent="0.25">
      <c r="A7" s="1" t="s">
        <v>45</v>
      </c>
    </row>
    <row r="8" spans="1:8" x14ac:dyDescent="0.25">
      <c r="A8" s="1" t="s">
        <v>46</v>
      </c>
    </row>
    <row r="9" spans="1:8" x14ac:dyDescent="0.25">
      <c r="A9" s="1" t="s">
        <v>47</v>
      </c>
    </row>
    <row r="10" spans="1:8" x14ac:dyDescent="0.25">
      <c r="A10" s="1"/>
    </row>
    <row r="11" spans="1:8" x14ac:dyDescent="0.25">
      <c r="A11" s="14" t="s">
        <v>48</v>
      </c>
      <c r="B11" s="15"/>
      <c r="C11" s="15"/>
      <c r="D11" s="15"/>
      <c r="E11" s="15"/>
      <c r="F11" s="15"/>
      <c r="G11" s="15"/>
      <c r="H11" s="15"/>
    </row>
    <row r="12" spans="1:8" x14ac:dyDescent="0.25">
      <c r="A12" s="14"/>
      <c r="B12" s="15"/>
      <c r="C12" s="15"/>
      <c r="D12" s="15"/>
      <c r="E12" s="15"/>
      <c r="F12" s="15"/>
      <c r="G12" s="15"/>
      <c r="H12" s="15"/>
    </row>
  </sheetData>
  <mergeCells count="1">
    <mergeCell ref="A11:H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PNL_REVERSE_S2_STRICT</vt:lpstr>
      <vt:lpstr>DICHOTOMIE_k</vt:lpstr>
      <vt:lpstr>MODE_OPERATOIRE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Tchidah</dc:creator>
  <cp:lastModifiedBy>Tchidah Ndiaye</cp:lastModifiedBy>
  <dcterms:created xsi:type="dcterms:W3CDTF">2026-01-28T08:56:16Z</dcterms:created>
  <dcterms:modified xsi:type="dcterms:W3CDTF">2026-01-28T16:25:21Z</dcterms:modified>
</cp:coreProperties>
</file>