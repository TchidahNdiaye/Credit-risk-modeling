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s\"/>
    </mc:Choice>
  </mc:AlternateContent>
  <bookViews>
    <workbookView xWindow="0" yWindow="0" windowWidth="24000" windowHeight="9600" firstSheet="3" activeTab="4"/>
  </bookViews>
  <sheets>
    <sheet name="Actif-passif sensible" sheetId="5" r:id="rId1"/>
    <sheet name="CF_1-30" sheetId="2" r:id="rId2"/>
    <sheet name="PV_EVE_Base_Up_Down" sheetId="3" r:id="rId3"/>
    <sheet name="Discount_Factors" sheetId="4" r:id="rId4"/>
    <sheet name="EIR_From_PnL" sheetId="6" r:id="rId5"/>
    <sheet name="CRD_Assets_Annual" sheetId="7" r:id="rId6"/>
    <sheet name="CRD_Liabs_Annual" sheetId="8" r:id="rId7"/>
    <sheet name="Calc_Dictionary_EIR_CRD" sheetId="9" r:id="rId8"/>
    <sheet name="Feuil1" sheetId="1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9" l="1"/>
  <c r="D6" i="9"/>
  <c r="D5" i="9"/>
  <c r="D4" i="9"/>
  <c r="D3" i="9"/>
  <c r="D2" i="9"/>
</calcChain>
</file>

<file path=xl/sharedStrings.xml><?xml version="1.0" encoding="utf-8"?>
<sst xmlns="http://schemas.openxmlformats.org/spreadsheetml/2006/main" count="268" uniqueCount="139">
  <si>
    <t>Échéance</t>
  </si>
  <si>
    <t>Principal Actif</t>
  </si>
  <si>
    <t>Intérêt Actif</t>
  </si>
  <si>
    <t>Total Actif</t>
  </si>
  <si>
    <t>Principal Passif</t>
  </si>
  <si>
    <t>intérêt passif</t>
  </si>
  <si>
    <t>Total Passif</t>
  </si>
  <si>
    <t>Dérivés</t>
  </si>
  <si>
    <t>Net_CF</t>
  </si>
  <si>
    <t>DF_Base</t>
  </si>
  <si>
    <t>DF_Up100</t>
  </si>
  <si>
    <t>DF_Down100</t>
  </si>
  <si>
    <t>PV_Contrib_Base</t>
  </si>
  <si>
    <t>PV_Contrib_Up100</t>
  </si>
  <si>
    <t>PV_Contrib_Down100</t>
  </si>
  <si>
    <t>Metric</t>
  </si>
  <si>
    <t>Value</t>
  </si>
  <si>
    <t>DF année par année : voir 'Discount_Factors'. Contributions PV dans 'Annual_Cashflows_1-30' (PV_Contrib_*).</t>
  </si>
  <si>
    <t>PV_Base_EUR</t>
  </si>
  <si>
    <t>PV_Up100_EUR</t>
  </si>
  <si>
    <t>PV_Down100_EUR</t>
  </si>
  <si>
    <t>DV01_EUR_per_bp</t>
  </si>
  <si>
    <t>EVE_Up100_vs_Base_EUR</t>
  </si>
  <si>
    <t>EVE_Down100_vs_Base_EUR</t>
  </si>
  <si>
    <t>Shock</t>
  </si>
  <si>
    <t>IFRS9_Class</t>
  </si>
  <si>
    <t>OCI_Change_EUR</t>
  </si>
  <si>
    <t>PnL_Change_EUR</t>
  </si>
  <si>
    <t>PV_Change_EUR</t>
  </si>
  <si>
    <t>+100bp</t>
  </si>
  <si>
    <t>JV OCI</t>
  </si>
  <si>
    <t>JV Résultat</t>
  </si>
  <si>
    <t>-100bp</t>
  </si>
  <si>
    <t xml:space="preserve"> </t>
  </si>
  <si>
    <t>Year</t>
  </si>
  <si>
    <t>ZeroRate_Up100</t>
  </si>
  <si>
    <t>ZeroRate_Down100</t>
  </si>
  <si>
    <t>Placements immobiliers</t>
  </si>
  <si>
    <t>Actions &amp; titres à revenu variable (hors OPCVM)</t>
  </si>
  <si>
    <t>OPCVM autres (mix)</t>
  </si>
  <si>
    <t>OPCVM titres à revenu fixe</t>
  </si>
  <si>
    <t>Dépôts auprès cédantes</t>
  </si>
  <si>
    <t>Dépôts/cautionnements et autres</t>
  </si>
  <si>
    <t>Actifs représentatifs UC</t>
  </si>
  <si>
    <t>Bonds fixed</t>
  </si>
  <si>
    <t>Bonds zero-coupon</t>
  </si>
  <si>
    <t>Bonds floating (FRN)</t>
  </si>
  <si>
    <t>Bonds resettable</t>
  </si>
  <si>
    <t>Bonds inflation-linked</t>
  </si>
  <si>
    <t>Bonds structured</t>
  </si>
  <si>
    <t>Provisions techniques non-vie</t>
  </si>
  <si>
    <t>Provisions techniques vie (hors UC &amp; indexés)</t>
  </si>
  <si>
    <t>Provisions techniques santé (similaire à la vie)</t>
  </si>
  <si>
    <t>Provisions techniques UC &amp; indexés</t>
  </si>
  <si>
    <t>Dépôts des réassureurs</t>
  </si>
  <si>
    <t>Dettes financières (hors subordonné)</t>
  </si>
  <si>
    <t>Passif subordonné</t>
  </si>
  <si>
    <t>Autres passifs (agrégé)</t>
  </si>
  <si>
    <t>DerivType</t>
  </si>
  <si>
    <t>Position</t>
  </si>
  <si>
    <t>Notional_EUR</t>
  </si>
  <si>
    <t>Notes</t>
  </si>
  <si>
    <t>CAP</t>
  </si>
  <si>
    <t>BUY</t>
  </si>
  <si>
    <t>SELL</t>
  </si>
  <si>
    <t>FLOOR</t>
  </si>
  <si>
    <t>IRS</t>
  </si>
  <si>
    <t>RECEIVE_FIXED</t>
  </si>
  <si>
    <t>PAY_FIXED</t>
  </si>
  <si>
    <t>Montant_EUR</t>
  </si>
  <si>
    <t>Actif</t>
  </si>
  <si>
    <t>Passif</t>
  </si>
  <si>
    <t>Maturité moyenne</t>
  </si>
  <si>
    <t>Annee</t>
  </si>
  <si>
    <t>Taux ZC</t>
  </si>
  <si>
    <t>Block</t>
  </si>
  <si>
    <t>Item</t>
  </si>
  <si>
    <t>Unit</t>
  </si>
  <si>
    <t>Source</t>
  </si>
  <si>
    <t>Page</t>
  </si>
  <si>
    <t>Assets</t>
  </si>
  <si>
    <t>Revenus des placements (note 6.1) — Total 2024</t>
  </si>
  <si>
    <t>kEUR</t>
  </si>
  <si>
    <t>DEU Note 6.1</t>
  </si>
  <si>
    <t>PDF p443 / DEU p448</t>
  </si>
  <si>
    <t>Total produits des placements (note 6.1) — Total 2024</t>
  </si>
  <si>
    <t>Total charges des placements (note 6.1) — Total 2024</t>
  </si>
  <si>
    <t>Produits nets des placements (note 6.1) — Total 2024</t>
  </si>
  <si>
    <t>Placements rate-sensitive BV proxy (sum pools tape)</t>
  </si>
  <si>
    <t>Proxy: somme des pools d’actifs du tape</t>
  </si>
  <si>
    <t>Inputs v2</t>
  </si>
  <si>
    <t>Taux effectif proxy (yield) = Revenus placements / BV</t>
  </si>
  <si>
    <t>%</t>
  </si>
  <si>
    <t>EIR proxy comptable (à remplacer titre-à-titre)</t>
  </si>
  <si>
    <t>Calc</t>
  </si>
  <si>
    <t>Liabs</t>
  </si>
  <si>
    <t>Participation attribuée (incl intérêts techniques) (B3a)</t>
  </si>
  <si>
    <t>DEU Note 6.7</t>
  </si>
  <si>
    <t>PDF p448 / DEU p453</t>
  </si>
  <si>
    <t>Provisions mathématiques moyennes (B1)</t>
  </si>
  <si>
    <t>Taux crédité effectif moyen = B3a/B1</t>
  </si>
  <si>
    <t>Incl intérêts techniques (périmètre A.132-10)</t>
  </si>
  <si>
    <t>CRD_Opening_EUR</t>
  </si>
  <si>
    <t>Principal_Received_EUR</t>
  </si>
  <si>
    <t>Reinvested_EUR</t>
  </si>
  <si>
    <t>CRD_Closing_EUR</t>
  </si>
  <si>
    <t>Rule</t>
  </si>
  <si>
    <t>Living balance: Reinvested = Principal received</t>
  </si>
  <si>
    <t>Reserve_Opening_EUR</t>
  </si>
  <si>
    <t>Benefits_Out_EUR</t>
  </si>
  <si>
    <t>NewMoney_In_EUR</t>
  </si>
  <si>
    <t>Reserve_Closing_EUR</t>
  </si>
  <si>
    <t>Living balance: NewMoney = Benefits out</t>
  </si>
  <si>
    <t>Sheet</t>
  </si>
  <si>
    <t>Field</t>
  </si>
  <si>
    <t>Math</t>
  </si>
  <si>
    <t>Excel_equivalent</t>
  </si>
  <si>
    <t>EIR_From_PnL</t>
  </si>
  <si>
    <t>Assets_EIR_proxy</t>
  </si>
  <si>
    <t>r_eff = RevenusPlacements / BV_rate_sensitive</t>
  </si>
  <si>
    <t>Revenus des placements: note 6.1 (DEU). BV_RS: somme pools du tape.</t>
  </si>
  <si>
    <t>Liabs_Credited_eff</t>
  </si>
  <si>
    <t>r_cred_eff = ParticipationAttribuée / ProvMathMoy</t>
  </si>
  <si>
    <t>Note 6.7 (incl intérêts techniques).</t>
  </si>
  <si>
    <t>Annual_Cashflows_1-30</t>
  </si>
  <si>
    <t>Assets_Interest</t>
  </si>
  <si>
    <t>I^A_t = r_eff * CRD_avg (proxy) ou Σ pools O_t*r_j</t>
  </si>
  <si>
    <t>Dans notre proxy, I^A_t provient du moteur cashflow; r_eff sert de contrôle/affichage.</t>
  </si>
  <si>
    <t>Liabs_Interest</t>
  </si>
  <si>
    <t>I^L_t = r_cred_eff * Reserve_avg (proxy)</t>
  </si>
  <si>
    <t>Dans notre proxy, I^L_t provient du moteur cashflow; r_cred_eff sert de contrôle/affichage.</t>
  </si>
  <si>
    <t>CRD_Assets_Annual</t>
  </si>
  <si>
    <t>CRD</t>
  </si>
  <si>
    <t>CRD_t = CRD_{t-1} - Principal_Received + Reinvested</t>
  </si>
  <si>
    <t>Living balance -&gt; CRD constant si Reinvest=Principal.</t>
  </si>
  <si>
    <t>CRD_Liabs_Annual</t>
  </si>
  <si>
    <t>Reserve</t>
  </si>
  <si>
    <t>Res_t = Res_{t-1} - Benefits_Out + NewMoney</t>
  </si>
  <si>
    <t>Living balance -&gt; Reserve constant si NewMoney=Benefits.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</si>
</sst>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#,##0.0000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horizontal="center" wrapText="1"/>
    </xf>
    <xf numFmtId="3" fontId="0" fillId="0" borderId="0" xfId="0" applyNumberFormat="1"/>
    <xf numFmtId="164" fontId="0" fillId="0" borderId="0" xfId="0" applyNumberFormat="1"/>
    <xf numFmtId="0" fontId="2" fillId="3" borderId="0" xfId="0" applyFont="1" applyFill="1" applyAlignment="1">
      <alignment horizontal="center" wrapText="1"/>
    </xf>
    <xf numFmtId="0" fontId="3" fillId="0" borderId="0" xfId="0" applyFont="1"/>
    <xf numFmtId="4" fontId="0" fillId="0" borderId="0" xfId="0" applyNumberFormat="1"/>
    <xf numFmtId="165" fontId="0" fillId="0" borderId="0" xfId="1" applyNumberFormat="1" applyFont="1"/>
  </cellXfs>
  <cellStyles count="2">
    <cellStyle name="Milliers" xfId="1" builtinId="3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* #,##0_-;\-* #,##0_-;_-* &quot;-&quot;??_-;_-@_-"/>
    </dxf>
    <dxf>
      <numFmt numFmtId="165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-* #,##0_-;\-* #,##0_-;_-* &quot;-&quot;??_-;_-@_-"/>
    </dxf>
    <dxf>
      <numFmt numFmtId="3" formatCode="#,##0"/>
    </dxf>
    <dxf>
      <numFmt numFmtId="3" formatCode="#,##0"/>
    </dxf>
    <dxf>
      <numFmt numFmtId="3" formatCode="#,##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5" name="T_Assets_ProxyTape" displayName="T_Assets_ProxyTape" ref="A1:C14" totalsRowShown="0">
  <autoFilter ref="A1:C14"/>
  <tableColumns count="3">
    <tableColumn id="2" name="Actif"/>
    <tableColumn id="3" name="Montant_EUR" dataDxfId="2" totalsRowDxfId="3" dataCellStyle="Milliers"/>
    <tableColumn id="5" name="Maturité moyenn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6" name="T_Liabs_ProxyTape" displayName="T_Liabs_ProxyTape" ref="E1:G9">
  <autoFilter ref="E1:G9"/>
  <tableColumns count="3">
    <tableColumn id="2" name="Passif"/>
    <tableColumn id="3" name="Montant_EUR" dataDxfId="1" dataCellStyle="Milliers"/>
    <tableColumn id="5" name="Maturité moyenn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7" name="T_Derivs_ProxyTape" displayName="T_Derivs_ProxyTape" ref="I1:L21">
  <autoFilter ref="I1:L21"/>
  <tableColumns count="4">
    <tableColumn id="2" name="DerivType"/>
    <tableColumn id="3" name="Position"/>
    <tableColumn id="4" name="Notional_EUR" dataDxfId="0" dataCellStyle="Milliers"/>
    <tableColumn id="5" name="Maturité moyenn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1" name="T_PV_EVE_Base_Up_Down" displayName="T_PV_EVE_Base_Up_Down" ref="A1:B7">
  <autoFilter ref="A1:B7"/>
  <tableColumns count="2">
    <tableColumn id="1" name="Metric"/>
    <tableColumn id="2" name="Value" dataDxfId="7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3" name="T_OCI_vs_PnL_EVE" displayName="T_OCI_vs_PnL_EVE" ref="D8:H12">
  <autoFilter ref="D8:H12"/>
  <tableColumns count="5">
    <tableColumn id="1" name="Shock"/>
    <tableColumn id="2" name="IFRS9_Class"/>
    <tableColumn id="3" name="OCI_Change_EUR" dataDxfId="6"/>
    <tableColumn id="4" name="PnL_Change_EUR" dataDxfId="5"/>
    <tableColumn id="5" name="PV_Change_EUR" dataDxfId="4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4" name="T_DiscountFactors" displayName="T_DiscountFactors" ref="A1:G31">
  <autoFilter ref="A1:G31"/>
  <tableColumns count="7">
    <tableColumn id="1" name="Annee"/>
    <tableColumn id="2" name="Taux ZC"/>
    <tableColumn id="3" name="DF_Base"/>
    <tableColumn id="4" name="ZeroRate_Up100"/>
    <tableColumn id="5" name="DF_Up100"/>
    <tableColumn id="6" name="ZeroRate_Down100"/>
    <tableColumn id="7" name="DF_Down100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8" name="T_EIR" displayName="T_EIR" ref="A1:F10">
  <autoFilter ref="A1:F10"/>
  <tableColumns count="6">
    <tableColumn id="1" name="Block"/>
    <tableColumn id="2" name="Item"/>
    <tableColumn id="3" name="Value"/>
    <tableColumn id="4" name="Unit"/>
    <tableColumn id="5" name="Source"/>
    <tableColumn id="6" name="Page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9" name="T_CRD_A" displayName="T_CRD_A" ref="A1:F31">
  <autoFilter ref="A1:F31"/>
  <tableColumns count="6">
    <tableColumn id="1" name="Year"/>
    <tableColumn id="2" name="CRD_Opening_EUR"/>
    <tableColumn id="3" name="Principal_Received_EUR"/>
    <tableColumn id="4" name="Reinvested_EUR"/>
    <tableColumn id="5" name="CRD_Closing_EUR"/>
    <tableColumn id="6" name="Rule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10" name="T_CRD_L" displayName="T_CRD_L" ref="A1:F31">
  <autoFilter ref="A1:F31"/>
  <tableColumns count="6">
    <tableColumn id="1" name="Year"/>
    <tableColumn id="2" name="Reserve_Opening_EUR"/>
    <tableColumn id="3" name="Benefits_Out_EUR"/>
    <tableColumn id="4" name="NewMoney_In_EUR"/>
    <tableColumn id="5" name="Reserve_Closing_EUR"/>
    <tableColumn id="6" name="Rule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1" name="T_Dict2" displayName="T_Dict2" ref="A1:E7">
  <autoFilter ref="A1:E7"/>
  <tableColumns count="5">
    <tableColumn id="1" name="Sheet"/>
    <tableColumn id="2" name="Field"/>
    <tableColumn id="3" name="Math"/>
    <tableColumn id="4" name="Excel_equivalent"/>
    <tableColumn id="5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topLeftCell="D1" workbookViewId="0">
      <pane ySplit="1" topLeftCell="A2" activePane="bottomLeft" state="frozen"/>
      <selection pane="bottomLeft" activeCell="I23" sqref="I23"/>
    </sheetView>
  </sheetViews>
  <sheetFormatPr baseColWidth="10" defaultColWidth="9.140625" defaultRowHeight="15" x14ac:dyDescent="0.25"/>
  <cols>
    <col min="1" max="1" width="44" bestFit="1" customWidth="1"/>
    <col min="2" max="2" width="17.28515625" bestFit="1" customWidth="1"/>
    <col min="3" max="3" width="16.140625" bestFit="1" customWidth="1"/>
    <col min="5" max="5" width="42.7109375" bestFit="1" customWidth="1"/>
    <col min="6" max="6" width="18.42578125" bestFit="1" customWidth="1"/>
    <col min="7" max="7" width="12.85546875" bestFit="1" customWidth="1"/>
    <col min="9" max="9" width="13.42578125" bestFit="1" customWidth="1"/>
    <col min="10" max="10" width="14.140625" bestFit="1" customWidth="1"/>
    <col min="11" max="11" width="17.85546875" bestFit="1" customWidth="1"/>
    <col min="12" max="12" width="13.28515625" bestFit="1" customWidth="1"/>
  </cols>
  <sheetData>
    <row r="1" spans="1:12" ht="30" x14ac:dyDescent="0.25">
      <c r="A1" s="4" t="s">
        <v>70</v>
      </c>
      <c r="B1" s="4" t="s">
        <v>69</v>
      </c>
      <c r="C1" s="4" t="s">
        <v>72</v>
      </c>
      <c r="E1" s="4" t="s">
        <v>71</v>
      </c>
      <c r="F1" s="4" t="s">
        <v>69</v>
      </c>
      <c r="G1" s="4" t="s">
        <v>72</v>
      </c>
      <c r="I1" s="4" t="s">
        <v>58</v>
      </c>
      <c r="J1" s="4" t="s">
        <v>59</v>
      </c>
      <c r="K1" s="4" t="s">
        <v>60</v>
      </c>
      <c r="L1" s="4" t="s">
        <v>72</v>
      </c>
    </row>
    <row r="2" spans="1:12" x14ac:dyDescent="0.25">
      <c r="A2" t="s">
        <v>37</v>
      </c>
      <c r="B2" s="7">
        <v>12851040000</v>
      </c>
      <c r="C2">
        <v>15</v>
      </c>
      <c r="E2" t="s">
        <v>50</v>
      </c>
      <c r="F2" s="7">
        <v>1918810000</v>
      </c>
      <c r="G2">
        <v>2</v>
      </c>
      <c r="I2" t="s">
        <v>62</v>
      </c>
      <c r="J2" t="s">
        <v>63</v>
      </c>
      <c r="K2" s="7">
        <v>16972000000</v>
      </c>
      <c r="L2">
        <v>0.25</v>
      </c>
    </row>
    <row r="3" spans="1:12" x14ac:dyDescent="0.25">
      <c r="A3" t="s">
        <v>38</v>
      </c>
      <c r="B3" s="7">
        <v>37173772000</v>
      </c>
      <c r="C3">
        <v>0</v>
      </c>
      <c r="E3" t="s">
        <v>51</v>
      </c>
      <c r="F3" s="7">
        <v>216740178000</v>
      </c>
      <c r="G3">
        <v>12</v>
      </c>
      <c r="I3" t="s">
        <v>62</v>
      </c>
      <c r="J3" t="s">
        <v>63</v>
      </c>
      <c r="K3" s="7">
        <v>16972000000</v>
      </c>
      <c r="L3">
        <v>0.75</v>
      </c>
    </row>
    <row r="4" spans="1:12" x14ac:dyDescent="0.25">
      <c r="A4" t="s">
        <v>39</v>
      </c>
      <c r="B4" s="7">
        <v>22394358000</v>
      </c>
      <c r="C4">
        <v>5</v>
      </c>
      <c r="E4" t="s">
        <v>52</v>
      </c>
      <c r="F4" s="7">
        <v>3989998000</v>
      </c>
      <c r="G4">
        <v>4</v>
      </c>
      <c r="I4" t="s">
        <v>62</v>
      </c>
      <c r="J4" t="s">
        <v>63</v>
      </c>
      <c r="K4" s="7">
        <v>76687800000</v>
      </c>
      <c r="L4">
        <v>3</v>
      </c>
    </row>
    <row r="5" spans="1:12" x14ac:dyDescent="0.25">
      <c r="A5" t="s">
        <v>40</v>
      </c>
      <c r="B5" s="7">
        <v>17999488000</v>
      </c>
      <c r="C5">
        <v>4</v>
      </c>
      <c r="E5" t="s">
        <v>53</v>
      </c>
      <c r="F5" s="7">
        <v>56355120000</v>
      </c>
      <c r="G5">
        <v>8</v>
      </c>
      <c r="I5" t="s">
        <v>62</v>
      </c>
      <c r="J5" t="s">
        <v>63</v>
      </c>
      <c r="K5" s="7">
        <v>23391595000</v>
      </c>
      <c r="L5">
        <v>10</v>
      </c>
    </row>
    <row r="6" spans="1:12" x14ac:dyDescent="0.25">
      <c r="A6" t="s">
        <v>41</v>
      </c>
      <c r="B6" s="7">
        <v>650400000</v>
      </c>
      <c r="C6">
        <v>0.25</v>
      </c>
      <c r="E6" t="s">
        <v>54</v>
      </c>
      <c r="F6" s="7">
        <v>9989712000</v>
      </c>
      <c r="G6">
        <v>0.75</v>
      </c>
      <c r="I6" t="s">
        <v>62</v>
      </c>
      <c r="J6" t="s">
        <v>64</v>
      </c>
      <c r="K6" s="7">
        <v>62500000</v>
      </c>
      <c r="L6">
        <v>0.25</v>
      </c>
    </row>
    <row r="7" spans="1:12" x14ac:dyDescent="0.25">
      <c r="A7" t="s">
        <v>42</v>
      </c>
      <c r="B7" s="7">
        <v>219696000</v>
      </c>
      <c r="C7">
        <v>0.75</v>
      </c>
      <c r="E7" t="s">
        <v>55</v>
      </c>
      <c r="F7" s="7">
        <v>16206013000</v>
      </c>
      <c r="G7">
        <v>5</v>
      </c>
      <c r="I7" t="s">
        <v>62</v>
      </c>
      <c r="J7" t="s">
        <v>64</v>
      </c>
      <c r="K7" s="7">
        <v>62500000</v>
      </c>
      <c r="L7">
        <v>0.75</v>
      </c>
    </row>
    <row r="8" spans="1:12" x14ac:dyDescent="0.25">
      <c r="A8" t="s">
        <v>43</v>
      </c>
      <c r="B8" s="7">
        <v>57653765000</v>
      </c>
      <c r="C8">
        <v>0</v>
      </c>
      <c r="E8" t="s">
        <v>56</v>
      </c>
      <c r="F8" s="7">
        <v>8278581000</v>
      </c>
      <c r="G8">
        <v>10</v>
      </c>
      <c r="I8" t="s">
        <v>62</v>
      </c>
      <c r="J8" t="s">
        <v>64</v>
      </c>
      <c r="K8" s="7">
        <v>20947300000</v>
      </c>
      <c r="L8">
        <v>3</v>
      </c>
    </row>
    <row r="9" spans="1:12" x14ac:dyDescent="0.25">
      <c r="A9" t="s">
        <v>44</v>
      </c>
      <c r="B9" s="7">
        <v>110697233922.1619</v>
      </c>
      <c r="C9">
        <v>9</v>
      </c>
      <c r="E9" t="s">
        <v>57</v>
      </c>
      <c r="F9" s="7">
        <v>4489224000</v>
      </c>
      <c r="G9">
        <v>1</v>
      </c>
      <c r="I9" t="s">
        <v>62</v>
      </c>
      <c r="J9" t="s">
        <v>64</v>
      </c>
      <c r="K9" s="7">
        <v>22522095000</v>
      </c>
      <c r="L9">
        <v>10</v>
      </c>
    </row>
    <row r="10" spans="1:12" x14ac:dyDescent="0.25">
      <c r="A10" t="s">
        <v>45</v>
      </c>
      <c r="B10" s="7">
        <v>20869564169.051929</v>
      </c>
      <c r="C10">
        <v>12</v>
      </c>
      <c r="I10" t="s">
        <v>65</v>
      </c>
      <c r="J10" t="s">
        <v>63</v>
      </c>
      <c r="K10" s="7">
        <v>0</v>
      </c>
      <c r="L10">
        <v>0.25</v>
      </c>
    </row>
    <row r="11" spans="1:12" x14ac:dyDescent="0.25">
      <c r="A11" t="s">
        <v>46</v>
      </c>
      <c r="B11" s="7">
        <v>17674853538.70472</v>
      </c>
      <c r="C11">
        <v>3</v>
      </c>
      <c r="I11" t="s">
        <v>65</v>
      </c>
      <c r="J11" t="s">
        <v>63</v>
      </c>
      <c r="K11" s="7">
        <v>0</v>
      </c>
      <c r="L11">
        <v>0.75</v>
      </c>
    </row>
    <row r="12" spans="1:12" x14ac:dyDescent="0.25">
      <c r="A12" t="s">
        <v>47</v>
      </c>
      <c r="B12" s="7">
        <v>7391988.2434921749</v>
      </c>
      <c r="C12">
        <v>3</v>
      </c>
      <c r="I12" t="s">
        <v>65</v>
      </c>
      <c r="J12" t="s">
        <v>63</v>
      </c>
      <c r="K12" s="7">
        <v>16800000000</v>
      </c>
      <c r="L12">
        <v>3</v>
      </c>
    </row>
    <row r="13" spans="1:12" x14ac:dyDescent="0.25">
      <c r="A13" t="s">
        <v>48</v>
      </c>
      <c r="B13" s="7">
        <v>7353275562.7942991</v>
      </c>
      <c r="C13">
        <v>10</v>
      </c>
      <c r="I13" t="s">
        <v>65</v>
      </c>
      <c r="J13" t="s">
        <v>63</v>
      </c>
      <c r="K13" s="7">
        <v>38162140000</v>
      </c>
      <c r="L13">
        <v>10</v>
      </c>
    </row>
    <row r="14" spans="1:12" x14ac:dyDescent="0.25">
      <c r="A14" t="s">
        <v>49</v>
      </c>
      <c r="B14" s="7">
        <v>27779091819.043591</v>
      </c>
      <c r="C14">
        <v>7</v>
      </c>
      <c r="I14" t="s">
        <v>66</v>
      </c>
      <c r="J14" t="s">
        <v>67</v>
      </c>
      <c r="K14" s="7">
        <v>150401500</v>
      </c>
      <c r="L14">
        <v>0.25</v>
      </c>
    </row>
    <row r="15" spans="1:12" x14ac:dyDescent="0.25">
      <c r="I15" t="s">
        <v>66</v>
      </c>
      <c r="J15" t="s">
        <v>67</v>
      </c>
      <c r="K15" s="7">
        <v>150401500</v>
      </c>
      <c r="L15">
        <v>0.75</v>
      </c>
    </row>
    <row r="16" spans="1:12" x14ac:dyDescent="0.25">
      <c r="I16" t="s">
        <v>66</v>
      </c>
      <c r="J16" t="s">
        <v>67</v>
      </c>
      <c r="K16" s="7">
        <v>1630423000</v>
      </c>
      <c r="L16">
        <v>3</v>
      </c>
    </row>
    <row r="17" spans="9:12" x14ac:dyDescent="0.25">
      <c r="I17" t="s">
        <v>66</v>
      </c>
      <c r="J17" t="s">
        <v>67</v>
      </c>
      <c r="K17" s="7">
        <v>957508000</v>
      </c>
      <c r="L17">
        <v>10</v>
      </c>
    </row>
    <row r="18" spans="9:12" x14ac:dyDescent="0.25">
      <c r="I18" t="s">
        <v>66</v>
      </c>
      <c r="J18" t="s">
        <v>68</v>
      </c>
      <c r="K18" s="7">
        <v>184899500</v>
      </c>
      <c r="L18">
        <v>0.25</v>
      </c>
    </row>
    <row r="19" spans="9:12" x14ac:dyDescent="0.25">
      <c r="I19" t="s">
        <v>66</v>
      </c>
      <c r="J19" t="s">
        <v>68</v>
      </c>
      <c r="K19" s="7">
        <v>184899500</v>
      </c>
      <c r="L19">
        <v>0.75</v>
      </c>
    </row>
    <row r="20" spans="9:12" x14ac:dyDescent="0.25">
      <c r="I20" t="s">
        <v>66</v>
      </c>
      <c r="J20" t="s">
        <v>68</v>
      </c>
      <c r="K20" s="7">
        <v>1747871000</v>
      </c>
      <c r="L20">
        <v>3</v>
      </c>
    </row>
    <row r="21" spans="9:12" x14ac:dyDescent="0.25">
      <c r="I21" t="s">
        <v>66</v>
      </c>
      <c r="J21" t="s">
        <v>68</v>
      </c>
      <c r="K21" s="7">
        <v>873586000</v>
      </c>
      <c r="L21">
        <v>10</v>
      </c>
    </row>
    <row r="22" spans="9:12" x14ac:dyDescent="0.25">
      <c r="K22" s="7"/>
    </row>
  </sheetData>
  <pageMargins left="0.75" right="0.75" top="1" bottom="1" header="0.5" footer="0.5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workbookViewId="0">
      <pane ySplit="1" topLeftCell="A2" activePane="bottomLeft" state="frozen"/>
      <selection pane="bottomLeft" sqref="A1:O1"/>
    </sheetView>
  </sheetViews>
  <sheetFormatPr baseColWidth="10" defaultColWidth="9.140625" defaultRowHeight="15" x14ac:dyDescent="0.25"/>
  <cols>
    <col min="1" max="1" width="10" customWidth="1"/>
    <col min="2" max="4" width="19" customWidth="1"/>
    <col min="5" max="5" width="24" customWidth="1"/>
    <col min="6" max="9" width="19" customWidth="1"/>
    <col min="10" max="11" width="21" customWidth="1"/>
    <col min="12" max="15" width="20" customWidth="1"/>
  </cols>
  <sheetData>
    <row r="1" spans="1:1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</v>
      </c>
      <c r="B2" s="2">
        <v>127217258313.01849</v>
      </c>
      <c r="C2" s="2">
        <v>5930229332.0484161</v>
      </c>
      <c r="D2" s="2">
        <v>133147487645.06689</v>
      </c>
      <c r="E2" s="2">
        <v>39508712503.398071</v>
      </c>
      <c r="F2" s="2">
        <v>2353044964.29705</v>
      </c>
      <c r="G2" s="2">
        <v>41861757467.695122</v>
      </c>
      <c r="H2" s="2">
        <v>120669114.6496167</v>
      </c>
      <c r="I2" s="2">
        <v>91406399292.021408</v>
      </c>
      <c r="J2" s="3">
        <v>0.97044553354850815</v>
      </c>
      <c r="K2" s="3">
        <v>0.96078943915232318</v>
      </c>
      <c r="L2" s="3">
        <v>0.98019867330675525</v>
      </c>
      <c r="M2" s="2">
        <v>88704931930.693695</v>
      </c>
      <c r="N2" s="2">
        <v>87822303110.714554</v>
      </c>
      <c r="O2" s="2">
        <v>89596431317.786911</v>
      </c>
    </row>
    <row r="3" spans="1:15" x14ac:dyDescent="0.25">
      <c r="A3">
        <v>2</v>
      </c>
      <c r="B3" s="2">
        <v>26636475122.911869</v>
      </c>
      <c r="C3" s="2">
        <v>8852306937.5074158</v>
      </c>
      <c r="D3" s="2">
        <v>35488782060.419281</v>
      </c>
      <c r="E3" s="2">
        <v>29034151009.47826</v>
      </c>
      <c r="F3" s="2">
        <v>2164905876.7731571</v>
      </c>
      <c r="G3" s="2">
        <v>31199056886.251419</v>
      </c>
      <c r="H3" s="2">
        <v>64557468.353686899</v>
      </c>
      <c r="I3" s="2">
        <v>4354282642.5215492</v>
      </c>
      <c r="J3" s="3">
        <v>0.94270676915709972</v>
      </c>
      <c r="K3" s="3">
        <v>0.92403992444508676</v>
      </c>
      <c r="L3" s="3">
        <v>0.96175070914636673</v>
      </c>
      <c r="M3" s="2">
        <v>4104811721.928329</v>
      </c>
      <c r="N3" s="2">
        <v>4023531004.0081649</v>
      </c>
      <c r="O3" s="2">
        <v>4187734419.268816</v>
      </c>
    </row>
    <row r="4" spans="1:15" x14ac:dyDescent="0.25">
      <c r="A4">
        <v>3</v>
      </c>
      <c r="B4" s="2">
        <v>22531959155.5741</v>
      </c>
      <c r="C4" s="2">
        <v>8976213216.6021423</v>
      </c>
      <c r="D4" s="2">
        <v>31508172372.17625</v>
      </c>
      <c r="E4" s="2">
        <v>24148750958.32967</v>
      </c>
      <c r="F4" s="2">
        <v>1991809560.1233411</v>
      </c>
      <c r="G4" s="2">
        <v>26140560518.453011</v>
      </c>
      <c r="H4" s="2">
        <v>45416542.527183942</v>
      </c>
      <c r="I4" s="2">
        <v>5413028396.2504158</v>
      </c>
      <c r="J4" s="3">
        <v>0.91667709563315225</v>
      </c>
      <c r="K4" s="3">
        <v>0.88958519316341134</v>
      </c>
      <c r="L4" s="3">
        <v>0.94459406936652335</v>
      </c>
      <c r="M4" s="2">
        <v>4961999148.8546114</v>
      </c>
      <c r="N4" s="2">
        <v>4815349911.477457</v>
      </c>
      <c r="O4" s="2">
        <v>5113114520.4107256</v>
      </c>
    </row>
    <row r="5" spans="1:15" x14ac:dyDescent="0.25">
      <c r="A5">
        <v>4</v>
      </c>
      <c r="B5" s="2">
        <v>19202140168.773319</v>
      </c>
      <c r="C5" s="2">
        <v>9077212907.6740685</v>
      </c>
      <c r="D5" s="2">
        <v>28279353076.447392</v>
      </c>
      <c r="E5" s="2">
        <v>21104686024.877151</v>
      </c>
      <c r="F5" s="2">
        <v>1832553260.7967701</v>
      </c>
      <c r="G5" s="2">
        <v>22937239285.67392</v>
      </c>
      <c r="H5" s="2">
        <v>73003208.49966976</v>
      </c>
      <c r="I5" s="2">
        <v>5415116999.2731419</v>
      </c>
      <c r="J5" s="3">
        <v>0.8922579558824083</v>
      </c>
      <c r="K5" s="3">
        <v>0.8572720210114575</v>
      </c>
      <c r="L5" s="3">
        <v>0.92867169384128723</v>
      </c>
      <c r="M5" s="2">
        <v>4831681224.6355343</v>
      </c>
      <c r="N5" s="2">
        <v>4642228293.9803858</v>
      </c>
      <c r="O5" s="2">
        <v>5028865876.0637369</v>
      </c>
    </row>
    <row r="6" spans="1:15" x14ac:dyDescent="0.25">
      <c r="A6">
        <v>5</v>
      </c>
      <c r="B6" s="2">
        <v>16462545717.4484</v>
      </c>
      <c r="C6" s="2">
        <v>9160641277.8865166</v>
      </c>
      <c r="D6" s="2">
        <v>25623186995.334919</v>
      </c>
      <c r="E6" s="2">
        <v>18795989251.201778</v>
      </c>
      <c r="F6" s="2">
        <v>1686030392.1068211</v>
      </c>
      <c r="G6" s="2">
        <v>20482019643.308601</v>
      </c>
      <c r="H6" s="2">
        <v>111503492.0330237</v>
      </c>
      <c r="I6" s="2">
        <v>5252670844.0593376</v>
      </c>
      <c r="J6" s="3">
        <v>0.86935823539880586</v>
      </c>
      <c r="K6" s="3">
        <v>0.82695913394336229</v>
      </c>
      <c r="L6" s="3">
        <v>0.91393118527122819</v>
      </c>
      <c r="M6" s="2">
        <v>4566452656.1221819</v>
      </c>
      <c r="N6" s="2">
        <v>4343744132.0928593</v>
      </c>
      <c r="O6" s="2">
        <v>4800579690.3507729</v>
      </c>
    </row>
    <row r="7" spans="1:15" x14ac:dyDescent="0.25">
      <c r="A7">
        <v>6</v>
      </c>
      <c r="B7" s="2">
        <v>14188715855.87784</v>
      </c>
      <c r="C7" s="2">
        <v>9230121163.9245262</v>
      </c>
      <c r="D7" s="2">
        <v>23418837019.802368</v>
      </c>
      <c r="E7" s="2">
        <v>16870670777.32649</v>
      </c>
      <c r="F7" s="2">
        <v>1551222845.1531689</v>
      </c>
      <c r="G7" s="2">
        <v>18421893622.47966</v>
      </c>
      <c r="H7" s="2">
        <v>245535.661808932</v>
      </c>
      <c r="I7" s="2">
        <v>4997188932.9845171</v>
      </c>
      <c r="J7" s="3">
        <v>0.84434001849440921</v>
      </c>
      <c r="K7" s="3">
        <v>0.79516948370390328</v>
      </c>
      <c r="L7" s="3">
        <v>0.89655108934814853</v>
      </c>
      <c r="M7" s="2">
        <v>4219326596.0962038</v>
      </c>
      <c r="N7" s="2">
        <v>3973612143.8121581</v>
      </c>
      <c r="O7" s="2">
        <v>4480235181.5457811</v>
      </c>
    </row>
    <row r="8" spans="1:15" x14ac:dyDescent="0.25">
      <c r="A8">
        <v>7</v>
      </c>
      <c r="B8" s="2">
        <v>12287160923.578831</v>
      </c>
      <c r="C8" s="2">
        <v>9288391655.4437103</v>
      </c>
      <c r="D8" s="2">
        <v>21575552579.022541</v>
      </c>
      <c r="E8" s="2">
        <v>15200076513.60425</v>
      </c>
      <c r="F8" s="2">
        <v>1427193914.5285809</v>
      </c>
      <c r="G8" s="2">
        <v>16627270428.13283</v>
      </c>
      <c r="H8" s="2">
        <v>562084.96999493055</v>
      </c>
      <c r="I8" s="2">
        <v>4948844235.859704</v>
      </c>
      <c r="J8" s="3">
        <v>0.81971381970368284</v>
      </c>
      <c r="K8" s="3">
        <v>0.76429609958321254</v>
      </c>
      <c r="L8" s="3">
        <v>0.87914977791934368</v>
      </c>
      <c r="M8" s="2">
        <v>4056636011.6951122</v>
      </c>
      <c r="N8" s="2">
        <v>3782382346.912436</v>
      </c>
      <c r="O8" s="2">
        <v>4350775310.9134827</v>
      </c>
    </row>
    <row r="9" spans="1:15" x14ac:dyDescent="0.25">
      <c r="A9">
        <v>8</v>
      </c>
      <c r="B9" s="2">
        <v>10685964304.24061</v>
      </c>
      <c r="C9" s="2">
        <v>9337573148.5356274</v>
      </c>
      <c r="D9" s="2">
        <v>20023537452.776241</v>
      </c>
      <c r="E9" s="2">
        <v>13725976762.70961</v>
      </c>
      <c r="F9" s="2">
        <v>1313081789.6549799</v>
      </c>
      <c r="G9" s="2">
        <v>15039058552.36459</v>
      </c>
      <c r="H9" s="2">
        <v>878665.9346950138</v>
      </c>
      <c r="I9" s="2">
        <v>4985357566.3463411</v>
      </c>
      <c r="J9" s="3">
        <v>0.79548761511942612</v>
      </c>
      <c r="K9" s="3">
        <v>0.73432762086486303</v>
      </c>
      <c r="L9" s="3">
        <v>0.86174144595446922</v>
      </c>
      <c r="M9" s="2">
        <v>3965790200.970437</v>
      </c>
      <c r="N9" s="2">
        <v>3660885760.855752</v>
      </c>
      <c r="O9" s="2">
        <v>4296089237.82335</v>
      </c>
    </row>
    <row r="10" spans="1:15" x14ac:dyDescent="0.25">
      <c r="A10">
        <v>9</v>
      </c>
      <c r="B10" s="2">
        <v>9329113128.5405159</v>
      </c>
      <c r="C10" s="2">
        <v>9379327293.2199516</v>
      </c>
      <c r="D10" s="2">
        <v>18708440421.760471</v>
      </c>
      <c r="E10" s="2">
        <v>12414852786.738159</v>
      </c>
      <c r="F10" s="2">
        <v>1208093566.523541</v>
      </c>
      <c r="G10" s="2">
        <v>13622946353.2617</v>
      </c>
      <c r="H10" s="2">
        <v>1195278.55907444</v>
      </c>
      <c r="I10" s="2">
        <v>5086689347.0578403</v>
      </c>
      <c r="J10" s="3">
        <v>0.77166867387452609</v>
      </c>
      <c r="K10" s="3">
        <v>0.70525206575082255</v>
      </c>
      <c r="L10" s="3">
        <v>0.84434001849440921</v>
      </c>
      <c r="M10" s="2">
        <v>3925238822.855803</v>
      </c>
      <c r="N10" s="2">
        <v>3587398169.8452449</v>
      </c>
      <c r="O10" s="2">
        <v>4294895377.370131</v>
      </c>
    </row>
    <row r="11" spans="1:15" x14ac:dyDescent="0.25">
      <c r="A11">
        <v>10</v>
      </c>
      <c r="B11" s="2">
        <v>8172586553.2425184</v>
      </c>
      <c r="C11" s="2">
        <v>9414967742.3415031</v>
      </c>
      <c r="D11" s="2">
        <v>17587554295.584019</v>
      </c>
      <c r="E11" s="2">
        <v>11243431212.755409</v>
      </c>
      <c r="F11" s="2">
        <v>1111499738.2296031</v>
      </c>
      <c r="G11" s="2">
        <v>12354930950.98502</v>
      </c>
      <c r="H11" s="2">
        <v>1511922.846299537</v>
      </c>
      <c r="I11" s="2">
        <v>5234135267.4453058</v>
      </c>
      <c r="J11" s="3">
        <v>0.74826356757856516</v>
      </c>
      <c r="K11" s="3">
        <v>0.67705687449816465</v>
      </c>
      <c r="L11" s="3">
        <v>0.82695913394336229</v>
      </c>
      <c r="M11" s="2">
        <v>3916512728.4074121</v>
      </c>
      <c r="N11" s="2">
        <v>3543807264.8771338</v>
      </c>
      <c r="O11" s="2">
        <v>4328415967.7089787</v>
      </c>
    </row>
    <row r="12" spans="1:15" x14ac:dyDescent="0.25">
      <c r="A12">
        <v>11</v>
      </c>
      <c r="B12" s="2">
        <v>96233593705.27359</v>
      </c>
      <c r="C12" s="2">
        <v>9445541024.4051666</v>
      </c>
      <c r="D12" s="2">
        <v>105679134729.6788</v>
      </c>
      <c r="E12" s="2">
        <v>10193676508.74152</v>
      </c>
      <c r="F12" s="2">
        <v>1022629126.020101</v>
      </c>
      <c r="G12" s="2">
        <v>11216305634.761629</v>
      </c>
      <c r="H12" s="2">
        <v>0</v>
      </c>
      <c r="I12" s="2">
        <v>94462829094.91713</v>
      </c>
      <c r="J12" s="3">
        <v>0.72687554930633824</v>
      </c>
      <c r="K12" s="3">
        <v>0.65115992918103249</v>
      </c>
      <c r="L12" s="3">
        <v>0.81139523564341143</v>
      </c>
      <c r="M12" s="2">
        <v>68662720787.398643</v>
      </c>
      <c r="N12" s="2">
        <v>61510409103.686211</v>
      </c>
      <c r="O12" s="2">
        <v>76646689473.01358</v>
      </c>
    </row>
    <row r="13" spans="1:15" x14ac:dyDescent="0.25">
      <c r="A13">
        <v>12</v>
      </c>
      <c r="B13" s="2">
        <v>24973589678.08979</v>
      </c>
      <c r="C13" s="2">
        <v>6889376615.695076</v>
      </c>
      <c r="D13" s="2">
        <v>31862966293.78487</v>
      </c>
      <c r="E13" s="2">
        <v>9250806903.0114326</v>
      </c>
      <c r="F13" s="2">
        <v>940864215.63206005</v>
      </c>
      <c r="G13" s="2">
        <v>10191671118.64349</v>
      </c>
      <c r="H13" s="2">
        <v>0</v>
      </c>
      <c r="I13" s="2">
        <v>21671295175.141369</v>
      </c>
      <c r="J13" s="3">
        <v>0.70609887621438439</v>
      </c>
      <c r="K13" s="3">
        <v>0.62625352365755593</v>
      </c>
      <c r="L13" s="3">
        <v>0.79612425983545365</v>
      </c>
      <c r="M13" s="2">
        <v>15302077169.277531</v>
      </c>
      <c r="N13" s="2">
        <v>13571724965.65527</v>
      </c>
      <c r="O13" s="2">
        <v>17253043830.985062</v>
      </c>
    </row>
    <row r="14" spans="1:15" x14ac:dyDescent="0.25">
      <c r="A14">
        <v>13</v>
      </c>
      <c r="B14" s="2">
        <v>21362205163.165291</v>
      </c>
      <c r="C14" s="2">
        <v>6371453513.6967888</v>
      </c>
      <c r="D14" s="2">
        <v>27733658676.86208</v>
      </c>
      <c r="E14" s="2">
        <v>8402357850.6911058</v>
      </c>
      <c r="F14" s="2">
        <v>865636866.5168761</v>
      </c>
      <c r="G14" s="2">
        <v>9267994717.2079811</v>
      </c>
      <c r="H14" s="2">
        <v>0</v>
      </c>
      <c r="I14" s="2">
        <v>18465663959.654099</v>
      </c>
      <c r="J14" s="3">
        <v>0.68591607389602016</v>
      </c>
      <c r="K14" s="3">
        <v>0.60229977048306538</v>
      </c>
      <c r="L14" s="3">
        <v>0.78114069353137638</v>
      </c>
      <c r="M14" s="2">
        <v>12665895725.08918</v>
      </c>
      <c r="N14" s="2">
        <v>11121865164.717079</v>
      </c>
      <c r="O14" s="2">
        <v>14424281551.96154</v>
      </c>
    </row>
    <row r="15" spans="1:15" x14ac:dyDescent="0.25">
      <c r="A15">
        <v>14</v>
      </c>
      <c r="B15" s="2">
        <v>18390204523.611622</v>
      </c>
      <c r="C15" s="2">
        <v>5933855915.6937351</v>
      </c>
      <c r="D15" s="2">
        <v>24324060439.305351</v>
      </c>
      <c r="E15" s="2">
        <v>7637652675.5843067</v>
      </c>
      <c r="F15" s="2">
        <v>796424364.13608098</v>
      </c>
      <c r="G15" s="2">
        <v>8434077039.7203875</v>
      </c>
      <c r="H15" s="2">
        <v>0</v>
      </c>
      <c r="I15" s="2">
        <v>15889983399.584961</v>
      </c>
      <c r="J15" s="3">
        <v>0.66631016742488636</v>
      </c>
      <c r="K15" s="3">
        <v>0.57926223138078203</v>
      </c>
      <c r="L15" s="3">
        <v>0.76643912750101917</v>
      </c>
      <c r="M15" s="2">
        <v>10587657499.356119</v>
      </c>
      <c r="N15" s="2">
        <v>9204467240.6471691</v>
      </c>
      <c r="O15" s="2">
        <v>12178705012.783581</v>
      </c>
    </row>
    <row r="16" spans="1:15" x14ac:dyDescent="0.25">
      <c r="A16">
        <v>15</v>
      </c>
      <c r="B16" s="2">
        <v>15913655883.307159</v>
      </c>
      <c r="C16" s="2">
        <v>5561310148.0331907</v>
      </c>
      <c r="D16" s="2">
        <v>21474966031.340351</v>
      </c>
      <c r="E16" s="2">
        <v>6947456634.9414587</v>
      </c>
      <c r="F16" s="2">
        <v>732745787.89811158</v>
      </c>
      <c r="G16" s="2">
        <v>7680202422.83957</v>
      </c>
      <c r="H16" s="2">
        <v>0</v>
      </c>
      <c r="I16" s="2">
        <v>13794763608.50078</v>
      </c>
      <c r="J16" s="3">
        <v>0.64726466707803465</v>
      </c>
      <c r="K16" s="3">
        <v>0.55710586181217392</v>
      </c>
      <c r="L16" s="3">
        <v>0.75201425431938262</v>
      </c>
      <c r="M16" s="2">
        <v>8928863074.4764462</v>
      </c>
      <c r="N16" s="2">
        <v>7685143668.6090412</v>
      </c>
      <c r="O16" s="2">
        <v>10373858868.55887</v>
      </c>
    </row>
    <row r="17" spans="1:15" x14ac:dyDescent="0.25">
      <c r="A17">
        <v>16</v>
      </c>
      <c r="B17" s="2">
        <v>13833272300.180019</v>
      </c>
      <c r="C17" s="2">
        <v>5242208046.9273434</v>
      </c>
      <c r="D17" s="2">
        <v>19075480347.107361</v>
      </c>
      <c r="E17" s="2">
        <v>6323727816.4630442</v>
      </c>
      <c r="F17" s="2">
        <v>674158669.49882042</v>
      </c>
      <c r="G17" s="2">
        <v>6997886485.9618645</v>
      </c>
      <c r="H17" s="2">
        <v>0</v>
      </c>
      <c r="I17" s="2">
        <v>12077593861.1455</v>
      </c>
      <c r="J17" s="3">
        <v>0.62876355446709842</v>
      </c>
      <c r="K17" s="3">
        <v>0.53579695766745605</v>
      </c>
      <c r="L17" s="3">
        <v>0.73786086645059112</v>
      </c>
      <c r="M17" s="2">
        <v>7593950845.5438519</v>
      </c>
      <c r="N17" s="2">
        <v>6471138046.7449026</v>
      </c>
      <c r="O17" s="2">
        <v>8911583871.023159</v>
      </c>
    </row>
    <row r="18" spans="1:15" x14ac:dyDescent="0.25">
      <c r="A18">
        <v>17</v>
      </c>
      <c r="B18" s="2">
        <v>12073544213.47146</v>
      </c>
      <c r="C18" s="2">
        <v>4967404549.4595747</v>
      </c>
      <c r="D18" s="2">
        <v>17040948762.93103</v>
      </c>
      <c r="E18" s="2">
        <v>5759426798.9823742</v>
      </c>
      <c r="F18" s="2">
        <v>620255918.44632566</v>
      </c>
      <c r="G18" s="2">
        <v>6379682717.4286985</v>
      </c>
      <c r="H18" s="2">
        <v>0</v>
      </c>
      <c r="I18" s="2">
        <v>10661266045.502331</v>
      </c>
      <c r="J18" s="3">
        <v>0.61079126906588421</v>
      </c>
      <c r="K18" s="3">
        <v>0.51530310399514168</v>
      </c>
      <c r="L18" s="3">
        <v>0.72397385436791528</v>
      </c>
      <c r="M18" s="2">
        <v>6511808217.7813892</v>
      </c>
      <c r="N18" s="2">
        <v>5493783485.7653608</v>
      </c>
      <c r="O18" s="2">
        <v>7718477871.4041042</v>
      </c>
    </row>
    <row r="19" spans="1:15" x14ac:dyDescent="0.25">
      <c r="A19">
        <v>18</v>
      </c>
      <c r="B19" s="2">
        <v>10575744920.126881</v>
      </c>
      <c r="C19" s="2">
        <v>4729601335.5213728</v>
      </c>
      <c r="D19" s="2">
        <v>15305346255.648251</v>
      </c>
      <c r="E19" s="2">
        <v>5248365856.1106224</v>
      </c>
      <c r="F19" s="2">
        <v>570662993.407323</v>
      </c>
      <c r="G19" s="2">
        <v>5819028849.5179453</v>
      </c>
      <c r="H19" s="2">
        <v>0</v>
      </c>
      <c r="I19" s="2">
        <v>9486317406.1303101</v>
      </c>
      <c r="J19" s="3">
        <v>0.59333269512305198</v>
      </c>
      <c r="K19" s="3">
        <v>0.49559312569265151</v>
      </c>
      <c r="L19" s="3">
        <v>0.71034820470917714</v>
      </c>
      <c r="M19" s="2">
        <v>5628542273.3720169</v>
      </c>
      <c r="N19" s="2">
        <v>4701353694.6167259</v>
      </c>
      <c r="O19" s="2">
        <v>6738588538.7460842</v>
      </c>
    </row>
    <row r="20" spans="1:15" x14ac:dyDescent="0.25">
      <c r="A20">
        <v>19</v>
      </c>
      <c r="B20" s="2">
        <v>9293637731.3667316</v>
      </c>
      <c r="C20" s="2">
        <v>4522918561.2490969</v>
      </c>
      <c r="D20" s="2">
        <v>13816556292.615829</v>
      </c>
      <c r="E20" s="2">
        <v>4785086681.3588457</v>
      </c>
      <c r="F20" s="2">
        <v>525035299.72005779</v>
      </c>
      <c r="G20" s="2">
        <v>5310121981.0789032</v>
      </c>
      <c r="H20" s="2">
        <v>0</v>
      </c>
      <c r="I20" s="2">
        <v>8506434311.5369263</v>
      </c>
      <c r="J20" s="3">
        <v>0.57637314894887715</v>
      </c>
      <c r="K20" s="3">
        <v>0.47663704008297197</v>
      </c>
      <c r="L20" s="3">
        <v>0.69697899846687272</v>
      </c>
      <c r="M20" s="2">
        <v>4902880330.4673119</v>
      </c>
      <c r="N20" s="2">
        <v>4054481671.9111938</v>
      </c>
      <c r="O20" s="2">
        <v>5928806066.979249</v>
      </c>
    </row>
    <row r="21" spans="1:15" x14ac:dyDescent="0.25">
      <c r="A21">
        <v>20</v>
      </c>
      <c r="B21" s="2">
        <v>8190483584.1509199</v>
      </c>
      <c r="C21" s="2">
        <v>4342579632.0494852</v>
      </c>
      <c r="D21" s="2">
        <v>12533063216.200411</v>
      </c>
      <c r="E21" s="2">
        <v>4364759642.6410627</v>
      </c>
      <c r="F21" s="2">
        <v>483055794.99067187</v>
      </c>
      <c r="G21" s="2">
        <v>4847815437.6317348</v>
      </c>
      <c r="H21" s="2">
        <v>0</v>
      </c>
      <c r="I21" s="2">
        <v>7685247778.5686703</v>
      </c>
      <c r="J21" s="3">
        <v>0.55989836656540204</v>
      </c>
      <c r="K21" s="3">
        <v>0.45840601130522352</v>
      </c>
      <c r="L21" s="3">
        <v>0.68386140921235583</v>
      </c>
      <c r="M21" s="2">
        <v>4302957677.8709831</v>
      </c>
      <c r="N21" s="2">
        <v>3522963780.0659938</v>
      </c>
      <c r="O21" s="2">
        <v>5255644375.9980984</v>
      </c>
    </row>
    <row r="22" spans="1:15" x14ac:dyDescent="0.25">
      <c r="A22">
        <v>21</v>
      </c>
      <c r="B22" s="2">
        <v>45402028030.725227</v>
      </c>
      <c r="C22" s="2">
        <v>4184673807.4187689</v>
      </c>
      <c r="D22" s="2">
        <v>49586701838.143997</v>
      </c>
      <c r="E22" s="2">
        <v>3983099793.7067351</v>
      </c>
      <c r="F22" s="2">
        <v>444432786.13549513</v>
      </c>
      <c r="G22" s="2">
        <v>4427532579.8422298</v>
      </c>
      <c r="H22" s="2">
        <v>0</v>
      </c>
      <c r="I22" s="2">
        <v>45159169258.301773</v>
      </c>
      <c r="J22" s="3">
        <v>0.54503787026947637</v>
      </c>
      <c r="K22" s="3">
        <v>0.44179911109758008</v>
      </c>
      <c r="L22" s="3">
        <v>0.67240126239700271</v>
      </c>
      <c r="M22" s="2">
        <v>24613457435.683609</v>
      </c>
      <c r="N22" s="2">
        <v>19951280836.222889</v>
      </c>
      <c r="O22" s="2">
        <v>30365082418.082031</v>
      </c>
    </row>
    <row r="23" spans="1:15" x14ac:dyDescent="0.25">
      <c r="A23">
        <v>22</v>
      </c>
      <c r="B23" s="2">
        <v>14399918380.4125</v>
      </c>
      <c r="C23" s="2">
        <v>2939185148.8536668</v>
      </c>
      <c r="D23" s="2">
        <v>17339103529.266171</v>
      </c>
      <c r="E23" s="2">
        <v>3636296213.6501589</v>
      </c>
      <c r="F23" s="2">
        <v>408897902.56211078</v>
      </c>
      <c r="G23" s="2">
        <v>4045194116.2122698</v>
      </c>
      <c r="H23" s="2">
        <v>0</v>
      </c>
      <c r="I23" s="2">
        <v>13293909413.0539</v>
      </c>
      <c r="J23" s="3">
        <v>0.53067791758043359</v>
      </c>
      <c r="K23" s="3">
        <v>0.42587900452188082</v>
      </c>
      <c r="L23" s="3">
        <v>0.66126540453354621</v>
      </c>
      <c r="M23" s="2">
        <v>7054784163.8223677</v>
      </c>
      <c r="N23" s="2">
        <v>5661596907.0354557</v>
      </c>
      <c r="O23" s="2">
        <v>8790802385.8554058</v>
      </c>
    </row>
    <row r="24" spans="1:15" x14ac:dyDescent="0.25">
      <c r="A24">
        <v>23</v>
      </c>
      <c r="B24" s="2">
        <v>12447115556.94898</v>
      </c>
      <c r="C24" s="2">
        <v>2585276805.0054851</v>
      </c>
      <c r="D24" s="2">
        <v>15032392361.95446</v>
      </c>
      <c r="E24" s="2">
        <v>3320952119.4258208</v>
      </c>
      <c r="F24" s="2">
        <v>376204231.40591532</v>
      </c>
      <c r="G24" s="2">
        <v>3697156350.831737</v>
      </c>
      <c r="H24" s="2">
        <v>0</v>
      </c>
      <c r="I24" s="2">
        <v>11335236011.12273</v>
      </c>
      <c r="J24" s="3">
        <v>0.51679965194242061</v>
      </c>
      <c r="K24" s="3">
        <v>0.41061468923028049</v>
      </c>
      <c r="L24" s="3">
        <v>0.65044404706628123</v>
      </c>
      <c r="M24" s="2">
        <v>5858046025.2334194</v>
      </c>
      <c r="N24" s="2">
        <v>4654414412.0590448</v>
      </c>
      <c r="O24" s="2">
        <v>7372936785.5261192</v>
      </c>
    </row>
    <row r="25" spans="1:15" x14ac:dyDescent="0.25">
      <c r="A25">
        <v>24</v>
      </c>
      <c r="B25" s="2">
        <v>10817305030.559059</v>
      </c>
      <c r="C25" s="2">
        <v>2281363920.5997529</v>
      </c>
      <c r="D25" s="2">
        <v>13098668951.158819</v>
      </c>
      <c r="E25" s="2">
        <v>3034033795.4727669</v>
      </c>
      <c r="F25" s="2">
        <v>346124601.8649298</v>
      </c>
      <c r="G25" s="2">
        <v>3380158397.337697</v>
      </c>
      <c r="H25" s="2">
        <v>0</v>
      </c>
      <c r="I25" s="2">
        <v>9718510553.8211174</v>
      </c>
      <c r="J25" s="3">
        <v>0.50338499703138917</v>
      </c>
      <c r="K25" s="3">
        <v>0.39597666350779492</v>
      </c>
      <c r="L25" s="3">
        <v>0.63992774976069633</v>
      </c>
      <c r="M25" s="2">
        <v>4892152406.2847672</v>
      </c>
      <c r="N25" s="2">
        <v>3848303383.3673782</v>
      </c>
      <c r="O25" s="2">
        <v>6219144589.7323275</v>
      </c>
    </row>
    <row r="26" spans="1:15" x14ac:dyDescent="0.25">
      <c r="A26">
        <v>25</v>
      </c>
      <c r="B26" s="2">
        <v>9442067415.6683311</v>
      </c>
      <c r="C26" s="2">
        <v>2018820075.3625281</v>
      </c>
      <c r="D26" s="2">
        <v>11460887491.030861</v>
      </c>
      <c r="E26" s="2">
        <v>2772826812.0478678</v>
      </c>
      <c r="F26" s="2">
        <v>318450006.71162689</v>
      </c>
      <c r="G26" s="2">
        <v>3091276818.7594948</v>
      </c>
      <c r="H26" s="2">
        <v>0</v>
      </c>
      <c r="I26" s="2">
        <v>8369610672.2713642</v>
      </c>
      <c r="J26" s="3">
        <v>0.49041662207590608</v>
      </c>
      <c r="K26" s="3">
        <v>0.38193684930394889</v>
      </c>
      <c r="L26" s="3">
        <v>0.62970740751160992</v>
      </c>
      <c r="M26" s="2">
        <v>4104596193.9857759</v>
      </c>
      <c r="N26" s="2">
        <v>3196662730.0680299</v>
      </c>
      <c r="O26" s="2">
        <v>5270405838.317503</v>
      </c>
    </row>
    <row r="27" spans="1:15" x14ac:dyDescent="0.25">
      <c r="A27">
        <v>26</v>
      </c>
      <c r="B27" s="2">
        <v>8273195949.4114876</v>
      </c>
      <c r="C27" s="2">
        <v>1790912908.995533</v>
      </c>
      <c r="D27" s="2">
        <v>10064108858.407021</v>
      </c>
      <c r="E27" s="2">
        <v>2534898318.3769112</v>
      </c>
      <c r="F27" s="2">
        <v>292988150.01370293</v>
      </c>
      <c r="G27" s="2">
        <v>2827886468.390614</v>
      </c>
      <c r="H27" s="2">
        <v>0</v>
      </c>
      <c r="I27" s="2">
        <v>7236222390.016407</v>
      </c>
      <c r="J27" s="3">
        <v>0.47787790881752001</v>
      </c>
      <c r="K27" s="3">
        <v>0.3684685194142408</v>
      </c>
      <c r="L27" s="3">
        <v>0.61977423769836404</v>
      </c>
      <c r="M27" s="2">
        <v>3458030823.479557</v>
      </c>
      <c r="N27" s="2">
        <v>2666320150.2015238</v>
      </c>
      <c r="O27" s="2">
        <v>4484824215.588253</v>
      </c>
    </row>
    <row r="28" spans="1:15" x14ac:dyDescent="0.25">
      <c r="A28">
        <v>27</v>
      </c>
      <c r="B28" s="2">
        <v>7273551822.386898</v>
      </c>
      <c r="C28" s="2">
        <v>1592230211.4960439</v>
      </c>
      <c r="D28" s="2">
        <v>8865782033.8829422</v>
      </c>
      <c r="E28" s="2">
        <v>2318064433.848793</v>
      </c>
      <c r="F28" s="2">
        <v>269562110.97268558</v>
      </c>
      <c r="G28" s="2">
        <v>2587626544.8214788</v>
      </c>
      <c r="H28" s="2">
        <v>0</v>
      </c>
      <c r="I28" s="2">
        <v>6278155489.0614634</v>
      </c>
      <c r="J28" s="3">
        <v>0.46575292002898311</v>
      </c>
      <c r="K28" s="3">
        <v>0.35554622857763801</v>
      </c>
      <c r="L28" s="3">
        <v>0.61011976806317292</v>
      </c>
      <c r="M28" s="2">
        <v>2924069251.4263649</v>
      </c>
      <c r="N28" s="2">
        <v>2232174506.5598001</v>
      </c>
      <c r="O28" s="2">
        <v>3830426770.8507161</v>
      </c>
    </row>
    <row r="29" spans="1:15" x14ac:dyDescent="0.25">
      <c r="A29">
        <v>28</v>
      </c>
      <c r="B29" s="2">
        <v>6413907768.8070507</v>
      </c>
      <c r="C29" s="2">
        <v>1418369306.6950951</v>
      </c>
      <c r="D29" s="2">
        <v>7832277075.5021458</v>
      </c>
      <c r="E29" s="2">
        <v>2120361942.847095</v>
      </c>
      <c r="F29" s="2">
        <v>248009114.5961093</v>
      </c>
      <c r="G29" s="2">
        <v>2368371057.4432039</v>
      </c>
      <c r="H29" s="2">
        <v>0</v>
      </c>
      <c r="I29" s="2">
        <v>5463906018.0589418</v>
      </c>
      <c r="J29" s="3">
        <v>0.45402636951289388</v>
      </c>
      <c r="K29" s="3">
        <v>0.34314574827001471</v>
      </c>
      <c r="L29" s="3">
        <v>0.60073582508984302</v>
      </c>
      <c r="M29" s="2">
        <v>2480757412.7389541</v>
      </c>
      <c r="N29" s="2">
        <v>1874916119.0438721</v>
      </c>
      <c r="O29" s="2">
        <v>3282364089.9719968</v>
      </c>
    </row>
    <row r="30" spans="1:15" x14ac:dyDescent="0.25">
      <c r="A30">
        <v>29</v>
      </c>
      <c r="B30" s="2">
        <v>5670982292.2508831</v>
      </c>
      <c r="C30" s="2">
        <v>1265716407.6892941</v>
      </c>
      <c r="D30" s="2">
        <v>6936698699.940177</v>
      </c>
      <c r="E30" s="2">
        <v>1940023641.398916</v>
      </c>
      <c r="F30" s="2">
        <v>228179400.6613141</v>
      </c>
      <c r="G30" s="2">
        <v>2168203042.0602298</v>
      </c>
      <c r="H30" s="2">
        <v>0</v>
      </c>
      <c r="I30" s="2">
        <v>4768495657.8799477</v>
      </c>
      <c r="J30" s="3">
        <v>0.4426835935073577</v>
      </c>
      <c r="K30" s="3">
        <v>0.33124400498631479</v>
      </c>
      <c r="L30" s="3">
        <v>0.59161452286112726</v>
      </c>
      <c r="M30" s="2">
        <v>2110934793.4545269</v>
      </c>
      <c r="N30" s="2">
        <v>1579535599.476006</v>
      </c>
      <c r="O30" s="2">
        <v>2821111283.4020019</v>
      </c>
    </row>
    <row r="31" spans="1:15" x14ac:dyDescent="0.25">
      <c r="A31">
        <v>30</v>
      </c>
      <c r="B31" s="2">
        <v>5026056541.5200682</v>
      </c>
      <c r="C31" s="2">
        <v>1131281686.1397591</v>
      </c>
      <c r="D31" s="2">
        <v>6157338227.6598263</v>
      </c>
      <c r="E31" s="2">
        <v>1775456796.8275249</v>
      </c>
      <c r="F31" s="2">
        <v>209935183.11190861</v>
      </c>
      <c r="G31" s="2">
        <v>1985391979.9394331</v>
      </c>
      <c r="H31" s="2">
        <v>0</v>
      </c>
      <c r="I31" s="2">
        <v>4171946247.7203932</v>
      </c>
      <c r="J31" s="3">
        <v>0.43171052342907967</v>
      </c>
      <c r="K31" s="3">
        <v>0.31981902181630389</v>
      </c>
      <c r="L31" s="3">
        <v>0.58274825237398964</v>
      </c>
      <c r="M31" s="2">
        <v>1801073098.3213561</v>
      </c>
      <c r="N31" s="2">
        <v>1334267768.0161359</v>
      </c>
      <c r="O31" s="2">
        <v>2431194384.8572831</v>
      </c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pane ySplit="1" topLeftCell="A2" activePane="bottomLeft" state="frozen"/>
      <selection pane="bottomLeft" activeCell="B20" sqref="B20"/>
    </sheetView>
  </sheetViews>
  <sheetFormatPr baseColWidth="10" defaultColWidth="9.140625" defaultRowHeight="15" x14ac:dyDescent="0.25"/>
  <cols>
    <col min="1" max="1" width="26.140625" bestFit="1" customWidth="1"/>
    <col min="2" max="2" width="20" customWidth="1"/>
    <col min="4" max="4" width="10.7109375" bestFit="1" customWidth="1"/>
    <col min="5" max="5" width="15.7109375" bestFit="1" customWidth="1"/>
    <col min="6" max="6" width="21" customWidth="1"/>
    <col min="7" max="7" width="21" bestFit="1" customWidth="1"/>
    <col min="8" max="8" width="20.140625" bestFit="1" customWidth="1"/>
  </cols>
  <sheetData>
    <row r="1" spans="1:8" x14ac:dyDescent="0.25">
      <c r="A1" s="4" t="s">
        <v>15</v>
      </c>
      <c r="B1" s="4" t="s">
        <v>16</v>
      </c>
      <c r="D1" s="5" t="s">
        <v>17</v>
      </c>
    </row>
    <row r="2" spans="1:8" x14ac:dyDescent="0.25">
      <c r="A2" t="s">
        <v>18</v>
      </c>
      <c r="B2" s="6">
        <v>331638636247.32349</v>
      </c>
    </row>
    <row r="3" spans="1:8" x14ac:dyDescent="0.25">
      <c r="A3" t="s">
        <v>19</v>
      </c>
      <c r="B3" s="6">
        <v>298532045373.04529</v>
      </c>
    </row>
    <row r="4" spans="1:8" x14ac:dyDescent="0.25">
      <c r="A4" t="s">
        <v>20</v>
      </c>
      <c r="B4" s="6">
        <v>370775109122.87958</v>
      </c>
    </row>
    <row r="5" spans="1:8" x14ac:dyDescent="0.25">
      <c r="A5" t="s">
        <v>21</v>
      </c>
      <c r="B5" s="6">
        <v>359277438.82791138</v>
      </c>
    </row>
    <row r="6" spans="1:8" x14ac:dyDescent="0.25">
      <c r="A6" t="s">
        <v>22</v>
      </c>
      <c r="B6" s="6">
        <v>-33106590874.278259</v>
      </c>
    </row>
    <row r="7" spans="1:8" x14ac:dyDescent="0.25">
      <c r="A7" t="s">
        <v>23</v>
      </c>
      <c r="B7" s="6">
        <v>39136472875.556091</v>
      </c>
    </row>
    <row r="8" spans="1:8" x14ac:dyDescent="0.25">
      <c r="D8" s="4" t="s">
        <v>24</v>
      </c>
      <c r="E8" s="4" t="s">
        <v>25</v>
      </c>
      <c r="F8" s="4" t="s">
        <v>26</v>
      </c>
      <c r="G8" s="4" t="s">
        <v>27</v>
      </c>
      <c r="H8" s="4" t="s">
        <v>28</v>
      </c>
    </row>
    <row r="9" spans="1:8" x14ac:dyDescent="0.25">
      <c r="D9" t="s">
        <v>29</v>
      </c>
      <c r="E9" t="s">
        <v>30</v>
      </c>
      <c r="F9" s="2">
        <v>-19863954524.566959</v>
      </c>
      <c r="G9" s="2">
        <v>0</v>
      </c>
      <c r="H9" s="2">
        <v>-19863954524.566959</v>
      </c>
    </row>
    <row r="10" spans="1:8" x14ac:dyDescent="0.25">
      <c r="D10" t="s">
        <v>29</v>
      </c>
      <c r="E10" t="s">
        <v>31</v>
      </c>
      <c r="F10" s="2">
        <v>0</v>
      </c>
      <c r="G10" s="2">
        <v>-3310659087.4278259</v>
      </c>
      <c r="H10" s="2">
        <v>-3310659087.4278259</v>
      </c>
    </row>
    <row r="11" spans="1:8" x14ac:dyDescent="0.25">
      <c r="D11" t="s">
        <v>32</v>
      </c>
      <c r="E11" t="s">
        <v>30</v>
      </c>
      <c r="F11" s="2">
        <v>23481883725.333649</v>
      </c>
      <c r="G11" s="2">
        <v>0</v>
      </c>
      <c r="H11" s="2">
        <v>23481883725.333649</v>
      </c>
    </row>
    <row r="12" spans="1:8" x14ac:dyDescent="0.25">
      <c r="D12" t="s">
        <v>32</v>
      </c>
      <c r="E12" t="s">
        <v>31</v>
      </c>
      <c r="F12" s="2">
        <v>0</v>
      </c>
      <c r="G12" s="2">
        <v>3913647287.5556092</v>
      </c>
      <c r="H12" s="2">
        <v>3913647287.5556092</v>
      </c>
    </row>
    <row r="20" spans="2:2" x14ac:dyDescent="0.25">
      <c r="B20" t="s">
        <v>33</v>
      </c>
    </row>
  </sheetData>
  <pageMargins left="0.75" right="0.75" top="1" bottom="1" header="0.5" footer="0.5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>
      <pane ySplit="1" topLeftCell="A2" activePane="bottomLeft" state="frozen"/>
      <selection pane="bottomLeft" activeCell="B2" sqref="B2"/>
    </sheetView>
  </sheetViews>
  <sheetFormatPr baseColWidth="10" defaultColWidth="9.140625" defaultRowHeight="15" x14ac:dyDescent="0.25"/>
  <cols>
    <col min="1" max="1" width="10" customWidth="1"/>
    <col min="2" max="2" width="22" customWidth="1"/>
    <col min="3" max="3" width="21" customWidth="1"/>
    <col min="4" max="4" width="22" customWidth="1"/>
    <col min="5" max="5" width="21" customWidth="1"/>
    <col min="6" max="6" width="22" customWidth="1"/>
    <col min="7" max="7" width="20" customWidth="1"/>
  </cols>
  <sheetData>
    <row r="1" spans="1:7" x14ac:dyDescent="0.25">
      <c r="A1" s="4" t="s">
        <v>73</v>
      </c>
      <c r="B1" s="4" t="s">
        <v>74</v>
      </c>
      <c r="C1" s="4" t="s">
        <v>9</v>
      </c>
      <c r="D1" s="4" t="s">
        <v>35</v>
      </c>
      <c r="E1" s="4" t="s">
        <v>10</v>
      </c>
      <c r="F1" s="4" t="s">
        <v>36</v>
      </c>
      <c r="G1" s="4" t="s">
        <v>11</v>
      </c>
    </row>
    <row r="2" spans="1:7" x14ac:dyDescent="0.25">
      <c r="A2">
        <v>1</v>
      </c>
      <c r="B2">
        <v>0.03</v>
      </c>
      <c r="C2">
        <v>0.97044553354850815</v>
      </c>
      <c r="D2">
        <v>0.04</v>
      </c>
      <c r="E2">
        <v>0.96078943915232318</v>
      </c>
      <c r="F2">
        <v>0.02</v>
      </c>
      <c r="G2">
        <v>0.98019867330675525</v>
      </c>
    </row>
    <row r="3" spans="1:7" x14ac:dyDescent="0.25">
      <c r="A3">
        <v>2</v>
      </c>
      <c r="B3">
        <v>2.9499999999999998E-2</v>
      </c>
      <c r="C3">
        <v>0.94270676915709972</v>
      </c>
      <c r="D3">
        <v>3.95E-2</v>
      </c>
      <c r="E3">
        <v>0.92403992444508676</v>
      </c>
      <c r="F3">
        <v>1.95E-2</v>
      </c>
      <c r="G3">
        <v>0.96175070914636673</v>
      </c>
    </row>
    <row r="4" spans="1:7" x14ac:dyDescent="0.25">
      <c r="A4">
        <v>3</v>
      </c>
      <c r="B4">
        <v>2.9000000000000001E-2</v>
      </c>
      <c r="C4">
        <v>0.91667709563315225</v>
      </c>
      <c r="D4">
        <v>3.9E-2</v>
      </c>
      <c r="E4">
        <v>0.88958519316341134</v>
      </c>
      <c r="F4">
        <v>1.9E-2</v>
      </c>
      <c r="G4">
        <v>0.94459406936652335</v>
      </c>
    </row>
    <row r="5" spans="1:7" x14ac:dyDescent="0.25">
      <c r="A5">
        <v>4</v>
      </c>
      <c r="B5">
        <v>2.8500000000000001E-2</v>
      </c>
      <c r="C5">
        <v>0.8922579558824083</v>
      </c>
      <c r="D5">
        <v>3.85E-2</v>
      </c>
      <c r="E5">
        <v>0.8572720210114575</v>
      </c>
      <c r="F5">
        <v>1.8499999999999999E-2</v>
      </c>
      <c r="G5">
        <v>0.92867169384128723</v>
      </c>
    </row>
    <row r="6" spans="1:7" x14ac:dyDescent="0.25">
      <c r="A6">
        <v>5</v>
      </c>
      <c r="B6">
        <v>2.8000000000000001E-2</v>
      </c>
      <c r="C6">
        <v>0.86935823539880586</v>
      </c>
      <c r="D6">
        <v>3.7999999999999999E-2</v>
      </c>
      <c r="E6">
        <v>0.82695913394336229</v>
      </c>
      <c r="F6">
        <v>1.7999999999999999E-2</v>
      </c>
      <c r="G6">
        <v>0.91393118527122819</v>
      </c>
    </row>
    <row r="7" spans="1:7" x14ac:dyDescent="0.25">
      <c r="A7">
        <v>6</v>
      </c>
      <c r="B7">
        <v>2.8199999999999999E-2</v>
      </c>
      <c r="C7">
        <v>0.84434001849440921</v>
      </c>
      <c r="D7">
        <v>3.8199999999999998E-2</v>
      </c>
      <c r="E7">
        <v>0.79516948370390328</v>
      </c>
      <c r="F7">
        <v>1.8200000000000001E-2</v>
      </c>
      <c r="G7">
        <v>0.89655108934814853</v>
      </c>
    </row>
    <row r="8" spans="1:7" x14ac:dyDescent="0.25">
      <c r="A8">
        <v>7</v>
      </c>
      <c r="B8">
        <v>2.8400000000000002E-2</v>
      </c>
      <c r="C8">
        <v>0.81971381970368284</v>
      </c>
      <c r="D8">
        <v>3.8399999999999997E-2</v>
      </c>
      <c r="E8">
        <v>0.76429609958321254</v>
      </c>
      <c r="F8">
        <v>1.84E-2</v>
      </c>
      <c r="G8">
        <v>0.87914977791934368</v>
      </c>
    </row>
    <row r="9" spans="1:7" x14ac:dyDescent="0.25">
      <c r="A9">
        <v>8</v>
      </c>
      <c r="B9">
        <v>2.86E-2</v>
      </c>
      <c r="C9">
        <v>0.79548761511942612</v>
      </c>
      <c r="D9">
        <v>3.8600000000000002E-2</v>
      </c>
      <c r="E9">
        <v>0.73432762086486303</v>
      </c>
      <c r="F9">
        <v>1.8599999999999998E-2</v>
      </c>
      <c r="G9">
        <v>0.86174144595446922</v>
      </c>
    </row>
    <row r="10" spans="1:7" x14ac:dyDescent="0.25">
      <c r="A10">
        <v>9</v>
      </c>
      <c r="B10">
        <v>2.8799999999999999E-2</v>
      </c>
      <c r="C10">
        <v>0.77166867387452609</v>
      </c>
      <c r="D10">
        <v>3.8800000000000001E-2</v>
      </c>
      <c r="E10">
        <v>0.70525206575082255</v>
      </c>
      <c r="F10">
        <v>1.8800000000000001E-2</v>
      </c>
      <c r="G10">
        <v>0.84434001849440921</v>
      </c>
    </row>
    <row r="11" spans="1:7" x14ac:dyDescent="0.25">
      <c r="A11">
        <v>10</v>
      </c>
      <c r="B11">
        <v>2.9000000000000001E-2</v>
      </c>
      <c r="C11">
        <v>0.74826356757856516</v>
      </c>
      <c r="D11">
        <v>3.9E-2</v>
      </c>
      <c r="E11">
        <v>0.67705687449816465</v>
      </c>
      <c r="F11">
        <v>1.9E-2</v>
      </c>
      <c r="G11">
        <v>0.82695913394336229</v>
      </c>
    </row>
    <row r="12" spans="1:7" x14ac:dyDescent="0.25">
      <c r="A12">
        <v>11</v>
      </c>
      <c r="B12">
        <v>2.9000000000000001E-2</v>
      </c>
      <c r="C12">
        <v>0.72687554930633824</v>
      </c>
      <c r="D12">
        <v>3.9E-2</v>
      </c>
      <c r="E12">
        <v>0.65115992918103249</v>
      </c>
      <c r="F12">
        <v>1.9E-2</v>
      </c>
      <c r="G12">
        <v>0.81139523564341143</v>
      </c>
    </row>
    <row r="13" spans="1:7" x14ac:dyDescent="0.25">
      <c r="A13">
        <v>12</v>
      </c>
      <c r="B13">
        <v>2.9000000000000001E-2</v>
      </c>
      <c r="C13">
        <v>0.70609887621438439</v>
      </c>
      <c r="D13">
        <v>3.9E-2</v>
      </c>
      <c r="E13">
        <v>0.62625352365755593</v>
      </c>
      <c r="F13">
        <v>1.9E-2</v>
      </c>
      <c r="G13">
        <v>0.79612425983545365</v>
      </c>
    </row>
    <row r="14" spans="1:7" x14ac:dyDescent="0.25">
      <c r="A14">
        <v>13</v>
      </c>
      <c r="B14">
        <v>2.9000000000000001E-2</v>
      </c>
      <c r="C14">
        <v>0.68591607389602016</v>
      </c>
      <c r="D14">
        <v>3.9E-2</v>
      </c>
      <c r="E14">
        <v>0.60229977048306538</v>
      </c>
      <c r="F14">
        <v>1.9E-2</v>
      </c>
      <c r="G14">
        <v>0.78114069353137638</v>
      </c>
    </row>
    <row r="15" spans="1:7" x14ac:dyDescent="0.25">
      <c r="A15">
        <v>14</v>
      </c>
      <c r="B15">
        <v>2.9000000000000001E-2</v>
      </c>
      <c r="C15">
        <v>0.66631016742488636</v>
      </c>
      <c r="D15">
        <v>3.9E-2</v>
      </c>
      <c r="E15">
        <v>0.57926223138078203</v>
      </c>
      <c r="F15">
        <v>1.9E-2</v>
      </c>
      <c r="G15">
        <v>0.76643912750101917</v>
      </c>
    </row>
    <row r="16" spans="1:7" x14ac:dyDescent="0.25">
      <c r="A16">
        <v>15</v>
      </c>
      <c r="B16">
        <v>2.9000000000000001E-2</v>
      </c>
      <c r="C16">
        <v>0.64726466707803465</v>
      </c>
      <c r="D16">
        <v>3.9E-2</v>
      </c>
      <c r="E16">
        <v>0.55710586181217392</v>
      </c>
      <c r="F16">
        <v>1.9E-2</v>
      </c>
      <c r="G16">
        <v>0.75201425431938262</v>
      </c>
    </row>
    <row r="17" spans="1:7" x14ac:dyDescent="0.25">
      <c r="A17">
        <v>16</v>
      </c>
      <c r="B17">
        <v>2.9000000000000001E-2</v>
      </c>
      <c r="C17">
        <v>0.62876355446709842</v>
      </c>
      <c r="D17">
        <v>3.9E-2</v>
      </c>
      <c r="E17">
        <v>0.53579695766745605</v>
      </c>
      <c r="F17">
        <v>1.9E-2</v>
      </c>
      <c r="G17">
        <v>0.73786086645059112</v>
      </c>
    </row>
    <row r="18" spans="1:7" x14ac:dyDescent="0.25">
      <c r="A18">
        <v>17</v>
      </c>
      <c r="B18">
        <v>2.9000000000000001E-2</v>
      </c>
      <c r="C18">
        <v>0.61079126906588421</v>
      </c>
      <c r="D18">
        <v>3.9E-2</v>
      </c>
      <c r="E18">
        <v>0.51530310399514168</v>
      </c>
      <c r="F18">
        <v>1.9E-2</v>
      </c>
      <c r="G18">
        <v>0.72397385436791528</v>
      </c>
    </row>
    <row r="19" spans="1:7" x14ac:dyDescent="0.25">
      <c r="A19">
        <v>18</v>
      </c>
      <c r="B19">
        <v>2.9000000000000001E-2</v>
      </c>
      <c r="C19">
        <v>0.59333269512305198</v>
      </c>
      <c r="D19">
        <v>3.9E-2</v>
      </c>
      <c r="E19">
        <v>0.49559312569265151</v>
      </c>
      <c r="F19">
        <v>1.9E-2</v>
      </c>
      <c r="G19">
        <v>0.71034820470917714</v>
      </c>
    </row>
    <row r="20" spans="1:7" x14ac:dyDescent="0.25">
      <c r="A20">
        <v>19</v>
      </c>
      <c r="B20">
        <v>2.9000000000000001E-2</v>
      </c>
      <c r="C20">
        <v>0.57637314894887715</v>
      </c>
      <c r="D20">
        <v>3.9E-2</v>
      </c>
      <c r="E20">
        <v>0.47663704008297197</v>
      </c>
      <c r="F20">
        <v>1.9E-2</v>
      </c>
      <c r="G20">
        <v>0.69697899846687272</v>
      </c>
    </row>
    <row r="21" spans="1:7" x14ac:dyDescent="0.25">
      <c r="A21">
        <v>20</v>
      </c>
      <c r="B21">
        <v>2.9000000000000001E-2</v>
      </c>
      <c r="C21">
        <v>0.55989836656540204</v>
      </c>
      <c r="D21">
        <v>3.9E-2</v>
      </c>
      <c r="E21">
        <v>0.45840601130522352</v>
      </c>
      <c r="F21">
        <v>1.9E-2</v>
      </c>
      <c r="G21">
        <v>0.68386140921235583</v>
      </c>
    </row>
    <row r="22" spans="1:7" x14ac:dyDescent="0.25">
      <c r="A22">
        <v>21</v>
      </c>
      <c r="B22">
        <v>2.8899999999999999E-2</v>
      </c>
      <c r="C22">
        <v>0.54503787026947637</v>
      </c>
      <c r="D22">
        <v>3.8899999999999997E-2</v>
      </c>
      <c r="E22">
        <v>0.44179911109758008</v>
      </c>
      <c r="F22">
        <v>1.89E-2</v>
      </c>
      <c r="G22">
        <v>0.67240126239700271</v>
      </c>
    </row>
    <row r="23" spans="1:7" x14ac:dyDescent="0.25">
      <c r="A23">
        <v>22</v>
      </c>
      <c r="B23">
        <v>2.8799999999999999E-2</v>
      </c>
      <c r="C23">
        <v>0.53067791758043359</v>
      </c>
      <c r="D23">
        <v>3.8800000000000001E-2</v>
      </c>
      <c r="E23">
        <v>0.42587900452188082</v>
      </c>
      <c r="F23">
        <v>1.8800000000000001E-2</v>
      </c>
      <c r="G23">
        <v>0.66126540453354621</v>
      </c>
    </row>
    <row r="24" spans="1:7" x14ac:dyDescent="0.25">
      <c r="A24">
        <v>23</v>
      </c>
      <c r="B24">
        <v>2.87E-2</v>
      </c>
      <c r="C24">
        <v>0.51679965194242061</v>
      </c>
      <c r="D24">
        <v>3.8699999999999998E-2</v>
      </c>
      <c r="E24">
        <v>0.41061468923028049</v>
      </c>
      <c r="F24">
        <v>1.8700000000000001E-2</v>
      </c>
      <c r="G24">
        <v>0.65044404706628123</v>
      </c>
    </row>
    <row r="25" spans="1:7" x14ac:dyDescent="0.25">
      <c r="A25">
        <v>24</v>
      </c>
      <c r="B25">
        <v>2.86E-2</v>
      </c>
      <c r="C25">
        <v>0.50338499703138917</v>
      </c>
      <c r="D25">
        <v>3.8600000000000002E-2</v>
      </c>
      <c r="E25">
        <v>0.39597666350779492</v>
      </c>
      <c r="F25">
        <v>1.8599999999999998E-2</v>
      </c>
      <c r="G25">
        <v>0.63992774976069633</v>
      </c>
    </row>
    <row r="26" spans="1:7" x14ac:dyDescent="0.25">
      <c r="A26">
        <v>25</v>
      </c>
      <c r="B26">
        <v>2.8500000000000001E-2</v>
      </c>
      <c r="C26">
        <v>0.49041662207590608</v>
      </c>
      <c r="D26">
        <v>3.85E-2</v>
      </c>
      <c r="E26">
        <v>0.38193684930394889</v>
      </c>
      <c r="F26">
        <v>1.8499999999999999E-2</v>
      </c>
      <c r="G26">
        <v>0.62970740751160992</v>
      </c>
    </row>
    <row r="27" spans="1:7" x14ac:dyDescent="0.25">
      <c r="A27">
        <v>26</v>
      </c>
      <c r="B27">
        <v>2.8400000000000002E-2</v>
      </c>
      <c r="C27">
        <v>0.47787790881752001</v>
      </c>
      <c r="D27">
        <v>3.8399999999999997E-2</v>
      </c>
      <c r="E27">
        <v>0.3684685194142408</v>
      </c>
      <c r="F27">
        <v>1.84E-2</v>
      </c>
      <c r="G27">
        <v>0.61977423769836404</v>
      </c>
    </row>
    <row r="28" spans="1:7" x14ac:dyDescent="0.25">
      <c r="A28">
        <v>27</v>
      </c>
      <c r="B28">
        <v>2.8299999999999999E-2</v>
      </c>
      <c r="C28">
        <v>0.46575292002898311</v>
      </c>
      <c r="D28">
        <v>3.8300000000000001E-2</v>
      </c>
      <c r="E28">
        <v>0.35554622857763801</v>
      </c>
      <c r="F28">
        <v>1.83E-2</v>
      </c>
      <c r="G28">
        <v>0.61011976806317292</v>
      </c>
    </row>
    <row r="29" spans="1:7" x14ac:dyDescent="0.25">
      <c r="A29">
        <v>28</v>
      </c>
      <c r="B29">
        <v>2.8199999999999999E-2</v>
      </c>
      <c r="C29">
        <v>0.45402636951289388</v>
      </c>
      <c r="D29">
        <v>3.8199999999999998E-2</v>
      </c>
      <c r="E29">
        <v>0.34314574827001471</v>
      </c>
      <c r="F29">
        <v>1.8200000000000001E-2</v>
      </c>
      <c r="G29">
        <v>0.60073582508984302</v>
      </c>
    </row>
    <row r="30" spans="1:7" x14ac:dyDescent="0.25">
      <c r="A30">
        <v>29</v>
      </c>
      <c r="B30">
        <v>2.81E-2</v>
      </c>
      <c r="C30">
        <v>0.4426835935073577</v>
      </c>
      <c r="D30">
        <v>3.8100000000000002E-2</v>
      </c>
      <c r="E30">
        <v>0.33124400498631479</v>
      </c>
      <c r="F30">
        <v>1.8100000000000002E-2</v>
      </c>
      <c r="G30">
        <v>0.59161452286112726</v>
      </c>
    </row>
    <row r="31" spans="1:7" x14ac:dyDescent="0.25">
      <c r="A31">
        <v>30</v>
      </c>
      <c r="B31">
        <v>2.8000000000000001E-2</v>
      </c>
      <c r="C31">
        <v>0.43171052342907967</v>
      </c>
      <c r="D31">
        <v>3.7999999999999999E-2</v>
      </c>
      <c r="E31">
        <v>0.31981902181630389</v>
      </c>
      <c r="F31">
        <v>1.7999999999999999E-2</v>
      </c>
      <c r="G31">
        <v>0.58274825237398964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pane ySplit="1" topLeftCell="A2" activePane="bottomLeft" state="frozen"/>
      <selection pane="bottomLeft" activeCell="E22" sqref="E22"/>
    </sheetView>
  </sheetViews>
  <sheetFormatPr baseColWidth="10" defaultColWidth="9.140625" defaultRowHeight="15" x14ac:dyDescent="0.25"/>
  <cols>
    <col min="1" max="1" width="10" customWidth="1"/>
    <col min="2" max="2" width="58" customWidth="1"/>
    <col min="3" max="3" width="20" customWidth="1"/>
    <col min="4" max="4" width="10" customWidth="1"/>
    <col min="5" max="5" width="49" customWidth="1"/>
    <col min="6" max="6" width="21" customWidth="1"/>
  </cols>
  <sheetData>
    <row r="1" spans="1:6" x14ac:dyDescent="0.25">
      <c r="A1" s="4" t="s">
        <v>75</v>
      </c>
      <c r="B1" s="4" t="s">
        <v>76</v>
      </c>
      <c r="C1" s="4" t="s">
        <v>16</v>
      </c>
      <c r="D1" s="4" t="s">
        <v>77</v>
      </c>
      <c r="E1" s="4" t="s">
        <v>78</v>
      </c>
      <c r="F1" s="4" t="s">
        <v>79</v>
      </c>
    </row>
    <row r="2" spans="1:6" x14ac:dyDescent="0.25">
      <c r="A2" t="s">
        <v>80</v>
      </c>
      <c r="B2" t="s">
        <v>81</v>
      </c>
      <c r="C2">
        <v>5870687</v>
      </c>
      <c r="D2" t="s">
        <v>82</v>
      </c>
      <c r="E2" t="s">
        <v>83</v>
      </c>
      <c r="F2" t="s">
        <v>84</v>
      </c>
    </row>
    <row r="3" spans="1:6" x14ac:dyDescent="0.25">
      <c r="A3" t="s">
        <v>80</v>
      </c>
      <c r="B3" t="s">
        <v>85</v>
      </c>
      <c r="C3">
        <v>10545277</v>
      </c>
      <c r="D3" t="s">
        <v>82</v>
      </c>
      <c r="E3" t="s">
        <v>83</v>
      </c>
      <c r="F3" t="s">
        <v>84</v>
      </c>
    </row>
    <row r="4" spans="1:6" x14ac:dyDescent="0.25">
      <c r="A4" t="s">
        <v>80</v>
      </c>
      <c r="B4" t="s">
        <v>86</v>
      </c>
      <c r="C4">
        <v>3650539</v>
      </c>
      <c r="D4" t="s">
        <v>82</v>
      </c>
      <c r="E4" t="s">
        <v>83</v>
      </c>
      <c r="F4" t="s">
        <v>84</v>
      </c>
    </row>
    <row r="5" spans="1:6" x14ac:dyDescent="0.25">
      <c r="A5" t="s">
        <v>80</v>
      </c>
      <c r="B5" t="s">
        <v>87</v>
      </c>
      <c r="C5">
        <v>6894738</v>
      </c>
      <c r="D5" t="s">
        <v>82</v>
      </c>
      <c r="E5" t="s">
        <v>83</v>
      </c>
      <c r="F5" t="s">
        <v>84</v>
      </c>
    </row>
    <row r="6" spans="1:6" x14ac:dyDescent="0.25">
      <c r="A6" t="s">
        <v>80</v>
      </c>
      <c r="B6" t="s">
        <v>88</v>
      </c>
      <c r="C6">
        <v>333323929.99999988</v>
      </c>
      <c r="D6" t="s">
        <v>82</v>
      </c>
      <c r="E6" t="s">
        <v>89</v>
      </c>
      <c r="F6" t="s">
        <v>90</v>
      </c>
    </row>
    <row r="7" spans="1:6" x14ac:dyDescent="0.25">
      <c r="A7" t="s">
        <v>80</v>
      </c>
      <c r="B7" t="s">
        <v>91</v>
      </c>
      <c r="C7">
        <v>1.761255785025696</v>
      </c>
      <c r="D7" t="s">
        <v>92</v>
      </c>
      <c r="E7" t="s">
        <v>93</v>
      </c>
      <c r="F7" t="s">
        <v>94</v>
      </c>
    </row>
    <row r="8" spans="1:6" x14ac:dyDescent="0.25">
      <c r="A8" t="s">
        <v>95</v>
      </c>
      <c r="B8" t="s">
        <v>96</v>
      </c>
      <c r="C8">
        <v>4940414</v>
      </c>
      <c r="D8" t="s">
        <v>82</v>
      </c>
      <c r="E8" t="s">
        <v>97</v>
      </c>
      <c r="F8" t="s">
        <v>98</v>
      </c>
    </row>
    <row r="9" spans="1:6" x14ac:dyDescent="0.25">
      <c r="A9" t="s">
        <v>95</v>
      </c>
      <c r="B9" t="s">
        <v>99</v>
      </c>
      <c r="C9">
        <v>212279607</v>
      </c>
      <c r="D9" t="s">
        <v>82</v>
      </c>
      <c r="E9" t="s">
        <v>97</v>
      </c>
      <c r="F9" t="s">
        <v>98</v>
      </c>
    </row>
    <row r="10" spans="1:6" x14ac:dyDescent="0.25">
      <c r="A10" t="s">
        <v>95</v>
      </c>
      <c r="B10" t="s">
        <v>100</v>
      </c>
      <c r="C10">
        <v>2.3273144650206561</v>
      </c>
      <c r="D10" t="s">
        <v>92</v>
      </c>
      <c r="E10" t="s">
        <v>101</v>
      </c>
      <c r="F10" t="s">
        <v>94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pane ySplit="1" topLeftCell="A20" activePane="bottomLeft" state="frozen"/>
      <selection pane="bottomLeft" sqref="A1:F31"/>
    </sheetView>
  </sheetViews>
  <sheetFormatPr baseColWidth="10" defaultColWidth="9.140625" defaultRowHeight="15" x14ac:dyDescent="0.25"/>
  <cols>
    <col min="1" max="1" width="10" customWidth="1"/>
    <col min="2" max="2" width="19" customWidth="1"/>
    <col min="3" max="3" width="24" customWidth="1"/>
    <col min="4" max="5" width="19" customWidth="1"/>
    <col min="6" max="6" width="49" customWidth="1"/>
  </cols>
  <sheetData>
    <row r="1" spans="1:6" x14ac:dyDescent="0.25">
      <c r="A1" s="4" t="s">
        <v>34</v>
      </c>
      <c r="B1" s="4" t="s">
        <v>102</v>
      </c>
      <c r="C1" s="4" t="s">
        <v>103</v>
      </c>
      <c r="D1" s="4" t="s">
        <v>104</v>
      </c>
      <c r="E1" s="4" t="s">
        <v>105</v>
      </c>
      <c r="F1" s="4" t="s">
        <v>106</v>
      </c>
    </row>
    <row r="2" spans="1:6" x14ac:dyDescent="0.25">
      <c r="A2">
        <v>1</v>
      </c>
      <c r="B2">
        <v>333323929999.99988</v>
      </c>
      <c r="C2">
        <v>127217258313.01849</v>
      </c>
      <c r="D2">
        <v>127217258313.01849</v>
      </c>
      <c r="E2">
        <v>333323929999.99988</v>
      </c>
      <c r="F2" t="s">
        <v>107</v>
      </c>
    </row>
    <row r="3" spans="1:6" x14ac:dyDescent="0.25">
      <c r="A3">
        <v>2</v>
      </c>
      <c r="B3">
        <v>333323929999.99988</v>
      </c>
      <c r="C3">
        <v>26636475122.911869</v>
      </c>
      <c r="D3">
        <v>26636475122.911869</v>
      </c>
      <c r="E3">
        <v>333323929999.99988</v>
      </c>
      <c r="F3" t="s">
        <v>107</v>
      </c>
    </row>
    <row r="4" spans="1:6" x14ac:dyDescent="0.25">
      <c r="A4">
        <v>3</v>
      </c>
      <c r="B4">
        <v>333323929999.99988</v>
      </c>
      <c r="C4">
        <v>22531959155.5741</v>
      </c>
      <c r="D4">
        <v>22531959155.5741</v>
      </c>
      <c r="E4">
        <v>333323929999.99988</v>
      </c>
      <c r="F4" t="s">
        <v>107</v>
      </c>
    </row>
    <row r="5" spans="1:6" x14ac:dyDescent="0.25">
      <c r="A5">
        <v>4</v>
      </c>
      <c r="B5">
        <v>333323929999.99988</v>
      </c>
      <c r="C5">
        <v>19202140168.773319</v>
      </c>
      <c r="D5">
        <v>19202140168.773319</v>
      </c>
      <c r="E5">
        <v>333323929999.99988</v>
      </c>
      <c r="F5" t="s">
        <v>107</v>
      </c>
    </row>
    <row r="6" spans="1:6" x14ac:dyDescent="0.25">
      <c r="A6">
        <v>5</v>
      </c>
      <c r="B6">
        <v>333323929999.99988</v>
      </c>
      <c r="C6">
        <v>16462545717.4484</v>
      </c>
      <c r="D6">
        <v>16462545717.4484</v>
      </c>
      <c r="E6">
        <v>333323929999.99988</v>
      </c>
      <c r="F6" t="s">
        <v>107</v>
      </c>
    </row>
    <row r="7" spans="1:6" x14ac:dyDescent="0.25">
      <c r="A7">
        <v>6</v>
      </c>
      <c r="B7">
        <v>333323929999.99988</v>
      </c>
      <c r="C7">
        <v>14188715855.87784</v>
      </c>
      <c r="D7">
        <v>14188715855.87784</v>
      </c>
      <c r="E7">
        <v>333323929999.99988</v>
      </c>
      <c r="F7" t="s">
        <v>107</v>
      </c>
    </row>
    <row r="8" spans="1:6" x14ac:dyDescent="0.25">
      <c r="A8">
        <v>7</v>
      </c>
      <c r="B8">
        <v>333323929999.99988</v>
      </c>
      <c r="C8">
        <v>12287160923.578831</v>
      </c>
      <c r="D8">
        <v>12287160923.578831</v>
      </c>
      <c r="E8">
        <v>333323929999.99988</v>
      </c>
      <c r="F8" t="s">
        <v>107</v>
      </c>
    </row>
    <row r="9" spans="1:6" x14ac:dyDescent="0.25">
      <c r="A9">
        <v>8</v>
      </c>
      <c r="B9">
        <v>333323929999.99988</v>
      </c>
      <c r="C9">
        <v>10685964304.24061</v>
      </c>
      <c r="D9">
        <v>10685964304.24061</v>
      </c>
      <c r="E9">
        <v>333323929999.99988</v>
      </c>
      <c r="F9" t="s">
        <v>107</v>
      </c>
    </row>
    <row r="10" spans="1:6" x14ac:dyDescent="0.25">
      <c r="A10">
        <v>9</v>
      </c>
      <c r="B10">
        <v>333323929999.99988</v>
      </c>
      <c r="C10">
        <v>9329113128.5405159</v>
      </c>
      <c r="D10">
        <v>9329113128.5405159</v>
      </c>
      <c r="E10">
        <v>333323929999.99988</v>
      </c>
      <c r="F10" t="s">
        <v>107</v>
      </c>
    </row>
    <row r="11" spans="1:6" x14ac:dyDescent="0.25">
      <c r="A11">
        <v>10</v>
      </c>
      <c r="B11">
        <v>333323929999.99988</v>
      </c>
      <c r="C11">
        <v>8172586553.2425184</v>
      </c>
      <c r="D11">
        <v>8172586553.2425184</v>
      </c>
      <c r="E11">
        <v>333323929999.99988</v>
      </c>
      <c r="F11" t="s">
        <v>107</v>
      </c>
    </row>
    <row r="12" spans="1:6" x14ac:dyDescent="0.25">
      <c r="A12">
        <v>11</v>
      </c>
      <c r="B12">
        <v>333323929999.99988</v>
      </c>
      <c r="C12">
        <v>96233593705.27359</v>
      </c>
      <c r="D12">
        <v>96233593705.27359</v>
      </c>
      <c r="E12">
        <v>333323929999.99988</v>
      </c>
      <c r="F12" t="s">
        <v>107</v>
      </c>
    </row>
    <row r="13" spans="1:6" x14ac:dyDescent="0.25">
      <c r="A13">
        <v>12</v>
      </c>
      <c r="B13">
        <v>333323929999.99988</v>
      </c>
      <c r="C13">
        <v>24973589678.08979</v>
      </c>
      <c r="D13">
        <v>24973589678.08979</v>
      </c>
      <c r="E13">
        <v>333323929999.99988</v>
      </c>
      <c r="F13" t="s">
        <v>107</v>
      </c>
    </row>
    <row r="14" spans="1:6" x14ac:dyDescent="0.25">
      <c r="A14">
        <v>13</v>
      </c>
      <c r="B14">
        <v>333323929999.99988</v>
      </c>
      <c r="C14">
        <v>21362205163.165291</v>
      </c>
      <c r="D14">
        <v>21362205163.165291</v>
      </c>
      <c r="E14">
        <v>333323929999.99988</v>
      </c>
      <c r="F14" t="s">
        <v>107</v>
      </c>
    </row>
    <row r="15" spans="1:6" x14ac:dyDescent="0.25">
      <c r="A15">
        <v>14</v>
      </c>
      <c r="B15">
        <v>333323929999.99988</v>
      </c>
      <c r="C15">
        <v>18390204523.611622</v>
      </c>
      <c r="D15">
        <v>18390204523.611622</v>
      </c>
      <c r="E15">
        <v>333323929999.99988</v>
      </c>
      <c r="F15" t="s">
        <v>107</v>
      </c>
    </row>
    <row r="16" spans="1:6" x14ac:dyDescent="0.25">
      <c r="A16">
        <v>15</v>
      </c>
      <c r="B16">
        <v>333323929999.99988</v>
      </c>
      <c r="C16">
        <v>15913655883.307159</v>
      </c>
      <c r="D16">
        <v>15913655883.307159</v>
      </c>
      <c r="E16">
        <v>333323929999.99988</v>
      </c>
      <c r="F16" t="s">
        <v>107</v>
      </c>
    </row>
    <row r="17" spans="1:6" x14ac:dyDescent="0.25">
      <c r="A17">
        <v>16</v>
      </c>
      <c r="B17">
        <v>333323929999.99988</v>
      </c>
      <c r="C17">
        <v>13833272300.180019</v>
      </c>
      <c r="D17">
        <v>13833272300.180019</v>
      </c>
      <c r="E17">
        <v>333323929999.99988</v>
      </c>
      <c r="F17" t="s">
        <v>107</v>
      </c>
    </row>
    <row r="18" spans="1:6" x14ac:dyDescent="0.25">
      <c r="A18">
        <v>17</v>
      </c>
      <c r="B18">
        <v>333323929999.99988</v>
      </c>
      <c r="C18">
        <v>12073544213.47146</v>
      </c>
      <c r="D18">
        <v>12073544213.47146</v>
      </c>
      <c r="E18">
        <v>333323929999.99988</v>
      </c>
      <c r="F18" t="s">
        <v>107</v>
      </c>
    </row>
    <row r="19" spans="1:6" x14ac:dyDescent="0.25">
      <c r="A19">
        <v>18</v>
      </c>
      <c r="B19">
        <v>333323929999.99988</v>
      </c>
      <c r="C19">
        <v>10575744920.126881</v>
      </c>
      <c r="D19">
        <v>10575744920.126881</v>
      </c>
      <c r="E19">
        <v>333323929999.99988</v>
      </c>
      <c r="F19" t="s">
        <v>107</v>
      </c>
    </row>
    <row r="20" spans="1:6" x14ac:dyDescent="0.25">
      <c r="A20">
        <v>19</v>
      </c>
      <c r="B20">
        <v>333323929999.99988</v>
      </c>
      <c r="C20">
        <v>9293637731.3667316</v>
      </c>
      <c r="D20">
        <v>9293637731.3667316</v>
      </c>
      <c r="E20">
        <v>333323929999.99988</v>
      </c>
      <c r="F20" t="s">
        <v>107</v>
      </c>
    </row>
    <row r="21" spans="1:6" x14ac:dyDescent="0.25">
      <c r="A21">
        <v>20</v>
      </c>
      <c r="B21">
        <v>333323929999.99988</v>
      </c>
      <c r="C21">
        <v>8190483584.1509199</v>
      </c>
      <c r="D21">
        <v>8190483584.1509199</v>
      </c>
      <c r="E21">
        <v>333323929999.99988</v>
      </c>
      <c r="F21" t="s">
        <v>107</v>
      </c>
    </row>
    <row r="22" spans="1:6" x14ac:dyDescent="0.25">
      <c r="A22">
        <v>21</v>
      </c>
      <c r="B22">
        <v>333323929999.99988</v>
      </c>
      <c r="C22">
        <v>45402028030.725227</v>
      </c>
      <c r="D22">
        <v>45402028030.725227</v>
      </c>
      <c r="E22">
        <v>333323929999.99988</v>
      </c>
      <c r="F22" t="s">
        <v>107</v>
      </c>
    </row>
    <row r="23" spans="1:6" x14ac:dyDescent="0.25">
      <c r="A23">
        <v>22</v>
      </c>
      <c r="B23">
        <v>333323929999.99988</v>
      </c>
      <c r="C23">
        <v>14399918380.4125</v>
      </c>
      <c r="D23">
        <v>14399918380.4125</v>
      </c>
      <c r="E23">
        <v>333323929999.99988</v>
      </c>
      <c r="F23" t="s">
        <v>107</v>
      </c>
    </row>
    <row r="24" spans="1:6" x14ac:dyDescent="0.25">
      <c r="A24">
        <v>23</v>
      </c>
      <c r="B24">
        <v>333323929999.99988</v>
      </c>
      <c r="C24">
        <v>12447115556.94898</v>
      </c>
      <c r="D24">
        <v>12447115556.94898</v>
      </c>
      <c r="E24">
        <v>333323929999.99988</v>
      </c>
      <c r="F24" t="s">
        <v>107</v>
      </c>
    </row>
    <row r="25" spans="1:6" x14ac:dyDescent="0.25">
      <c r="A25">
        <v>24</v>
      </c>
      <c r="B25">
        <v>333323929999.99988</v>
      </c>
      <c r="C25">
        <v>10817305030.559059</v>
      </c>
      <c r="D25">
        <v>10817305030.559059</v>
      </c>
      <c r="E25">
        <v>333323929999.99988</v>
      </c>
      <c r="F25" t="s">
        <v>107</v>
      </c>
    </row>
    <row r="26" spans="1:6" x14ac:dyDescent="0.25">
      <c r="A26">
        <v>25</v>
      </c>
      <c r="B26">
        <v>333323929999.99988</v>
      </c>
      <c r="C26">
        <v>9442067415.6683311</v>
      </c>
      <c r="D26">
        <v>9442067415.6683311</v>
      </c>
      <c r="E26">
        <v>333323929999.99988</v>
      </c>
      <c r="F26" t="s">
        <v>107</v>
      </c>
    </row>
    <row r="27" spans="1:6" x14ac:dyDescent="0.25">
      <c r="A27">
        <v>26</v>
      </c>
      <c r="B27">
        <v>333323929999.99988</v>
      </c>
      <c r="C27">
        <v>8273195949.4114876</v>
      </c>
      <c r="D27">
        <v>8273195949.4114876</v>
      </c>
      <c r="E27">
        <v>333323929999.99988</v>
      </c>
      <c r="F27" t="s">
        <v>107</v>
      </c>
    </row>
    <row r="28" spans="1:6" x14ac:dyDescent="0.25">
      <c r="A28">
        <v>27</v>
      </c>
      <c r="B28">
        <v>333323929999.99988</v>
      </c>
      <c r="C28">
        <v>7273551822.386898</v>
      </c>
      <c r="D28">
        <v>7273551822.386898</v>
      </c>
      <c r="E28">
        <v>333323929999.99988</v>
      </c>
      <c r="F28" t="s">
        <v>107</v>
      </c>
    </row>
    <row r="29" spans="1:6" x14ac:dyDescent="0.25">
      <c r="A29">
        <v>28</v>
      </c>
      <c r="B29">
        <v>333323929999.99988</v>
      </c>
      <c r="C29">
        <v>6413907768.8070507</v>
      </c>
      <c r="D29">
        <v>6413907768.8070507</v>
      </c>
      <c r="E29">
        <v>333323929999.99988</v>
      </c>
      <c r="F29" t="s">
        <v>107</v>
      </c>
    </row>
    <row r="30" spans="1:6" x14ac:dyDescent="0.25">
      <c r="A30">
        <v>29</v>
      </c>
      <c r="B30">
        <v>333323929999.99988</v>
      </c>
      <c r="C30">
        <v>5670982292.2508831</v>
      </c>
      <c r="D30">
        <v>5670982292.2508831</v>
      </c>
      <c r="E30">
        <v>333323929999.99988</v>
      </c>
      <c r="F30" t="s">
        <v>107</v>
      </c>
    </row>
    <row r="31" spans="1:6" x14ac:dyDescent="0.25">
      <c r="A31">
        <v>30</v>
      </c>
      <c r="B31">
        <v>333323929999.99988</v>
      </c>
      <c r="C31">
        <v>5026056541.5200682</v>
      </c>
      <c r="D31">
        <v>5026056541.5200682</v>
      </c>
      <c r="E31">
        <v>333323929999.99988</v>
      </c>
      <c r="F31" t="s">
        <v>107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pane ySplit="1" topLeftCell="A17" activePane="bottomLeft" state="frozen"/>
      <selection pane="bottomLeft" activeCell="A2" sqref="A1:F31"/>
    </sheetView>
  </sheetViews>
  <sheetFormatPr baseColWidth="10" defaultColWidth="9.140625" defaultRowHeight="15" x14ac:dyDescent="0.25"/>
  <cols>
    <col min="1" max="1" width="10" customWidth="1"/>
    <col min="2" max="2" width="21" customWidth="1"/>
    <col min="3" max="4" width="19" customWidth="1"/>
    <col min="5" max="5" width="21" customWidth="1"/>
    <col min="6" max="6" width="41" customWidth="1"/>
  </cols>
  <sheetData>
    <row r="1" spans="1:6" ht="30" x14ac:dyDescent="0.25">
      <c r="A1" s="4" t="s">
        <v>34</v>
      </c>
      <c r="B1" s="4" t="s">
        <v>108</v>
      </c>
      <c r="C1" s="4" t="s">
        <v>109</v>
      </c>
      <c r="D1" s="4" t="s">
        <v>110</v>
      </c>
      <c r="E1" s="4" t="s">
        <v>111</v>
      </c>
      <c r="F1" s="4" t="s">
        <v>106</v>
      </c>
    </row>
    <row r="2" spans="1:6" x14ac:dyDescent="0.25">
      <c r="A2">
        <v>1</v>
      </c>
      <c r="B2">
        <v>317967636000</v>
      </c>
      <c r="C2">
        <v>39508712503.398071</v>
      </c>
      <c r="D2">
        <v>39508712503.398071</v>
      </c>
      <c r="E2">
        <v>317967636000</v>
      </c>
      <c r="F2" t="s">
        <v>112</v>
      </c>
    </row>
    <row r="3" spans="1:6" x14ac:dyDescent="0.25">
      <c r="A3">
        <v>2</v>
      </c>
      <c r="B3">
        <v>317967636000</v>
      </c>
      <c r="C3">
        <v>29034151009.47826</v>
      </c>
      <c r="D3">
        <v>29034151009.47826</v>
      </c>
      <c r="E3">
        <v>317967636000</v>
      </c>
      <c r="F3" t="s">
        <v>112</v>
      </c>
    </row>
    <row r="4" spans="1:6" x14ac:dyDescent="0.25">
      <c r="A4">
        <v>3</v>
      </c>
      <c r="B4">
        <v>317967636000</v>
      </c>
      <c r="C4">
        <v>24148750958.32967</v>
      </c>
      <c r="D4">
        <v>24148750958.32967</v>
      </c>
      <c r="E4">
        <v>317967636000</v>
      </c>
      <c r="F4" t="s">
        <v>112</v>
      </c>
    </row>
    <row r="5" spans="1:6" x14ac:dyDescent="0.25">
      <c r="A5">
        <v>4</v>
      </c>
      <c r="B5">
        <v>317967636000</v>
      </c>
      <c r="C5">
        <v>21104686024.877151</v>
      </c>
      <c r="D5">
        <v>21104686024.877151</v>
      </c>
      <c r="E5">
        <v>317967636000</v>
      </c>
      <c r="F5" t="s">
        <v>112</v>
      </c>
    </row>
    <row r="6" spans="1:6" x14ac:dyDescent="0.25">
      <c r="A6">
        <v>5</v>
      </c>
      <c r="B6">
        <v>317967636000</v>
      </c>
      <c r="C6">
        <v>18795989251.201778</v>
      </c>
      <c r="D6">
        <v>18795989251.201778</v>
      </c>
      <c r="E6">
        <v>317967636000</v>
      </c>
      <c r="F6" t="s">
        <v>112</v>
      </c>
    </row>
    <row r="7" spans="1:6" x14ac:dyDescent="0.25">
      <c r="A7">
        <v>6</v>
      </c>
      <c r="B7">
        <v>317967636000</v>
      </c>
      <c r="C7">
        <v>16870670777.32649</v>
      </c>
      <c r="D7">
        <v>16870670777.32649</v>
      </c>
      <c r="E7">
        <v>317967636000</v>
      </c>
      <c r="F7" t="s">
        <v>112</v>
      </c>
    </row>
    <row r="8" spans="1:6" x14ac:dyDescent="0.25">
      <c r="A8">
        <v>7</v>
      </c>
      <c r="B8">
        <v>317967636000</v>
      </c>
      <c r="C8">
        <v>15200076513.60425</v>
      </c>
      <c r="D8">
        <v>15200076513.60425</v>
      </c>
      <c r="E8">
        <v>317967636000</v>
      </c>
      <c r="F8" t="s">
        <v>112</v>
      </c>
    </row>
    <row r="9" spans="1:6" x14ac:dyDescent="0.25">
      <c r="A9">
        <v>8</v>
      </c>
      <c r="B9">
        <v>317967636000</v>
      </c>
      <c r="C9">
        <v>13725976762.70961</v>
      </c>
      <c r="D9">
        <v>13725976762.70961</v>
      </c>
      <c r="E9">
        <v>317967636000</v>
      </c>
      <c r="F9" t="s">
        <v>112</v>
      </c>
    </row>
    <row r="10" spans="1:6" x14ac:dyDescent="0.25">
      <c r="A10">
        <v>9</v>
      </c>
      <c r="B10">
        <v>317967636000</v>
      </c>
      <c r="C10">
        <v>12414852786.738159</v>
      </c>
      <c r="D10">
        <v>12414852786.738159</v>
      </c>
      <c r="E10">
        <v>317967636000</v>
      </c>
      <c r="F10" t="s">
        <v>112</v>
      </c>
    </row>
    <row r="11" spans="1:6" x14ac:dyDescent="0.25">
      <c r="A11">
        <v>10</v>
      </c>
      <c r="B11">
        <v>317967636000</v>
      </c>
      <c r="C11">
        <v>11243431212.755409</v>
      </c>
      <c r="D11">
        <v>11243431212.755409</v>
      </c>
      <c r="E11">
        <v>317967636000</v>
      </c>
      <c r="F11" t="s">
        <v>112</v>
      </c>
    </row>
    <row r="12" spans="1:6" x14ac:dyDescent="0.25">
      <c r="A12">
        <v>11</v>
      </c>
      <c r="B12">
        <v>317967636000</v>
      </c>
      <c r="C12">
        <v>10193676508.74152</v>
      </c>
      <c r="D12">
        <v>10193676508.74152</v>
      </c>
      <c r="E12">
        <v>317967636000</v>
      </c>
      <c r="F12" t="s">
        <v>112</v>
      </c>
    </row>
    <row r="13" spans="1:6" x14ac:dyDescent="0.25">
      <c r="A13">
        <v>12</v>
      </c>
      <c r="B13">
        <v>317967636000</v>
      </c>
      <c r="C13">
        <v>9250806903.0114326</v>
      </c>
      <c r="D13">
        <v>9250806903.0114326</v>
      </c>
      <c r="E13">
        <v>317967636000</v>
      </c>
      <c r="F13" t="s">
        <v>112</v>
      </c>
    </row>
    <row r="14" spans="1:6" x14ac:dyDescent="0.25">
      <c r="A14">
        <v>13</v>
      </c>
      <c r="B14">
        <v>317967636000</v>
      </c>
      <c r="C14">
        <v>8402357850.6911058</v>
      </c>
      <c r="D14">
        <v>8402357850.6911058</v>
      </c>
      <c r="E14">
        <v>317967636000</v>
      </c>
      <c r="F14" t="s">
        <v>112</v>
      </c>
    </row>
    <row r="15" spans="1:6" x14ac:dyDescent="0.25">
      <c r="A15">
        <v>14</v>
      </c>
      <c r="B15">
        <v>317967636000</v>
      </c>
      <c r="C15">
        <v>7637652675.5843067</v>
      </c>
      <c r="D15">
        <v>7637652675.5843067</v>
      </c>
      <c r="E15">
        <v>317967636000</v>
      </c>
      <c r="F15" t="s">
        <v>112</v>
      </c>
    </row>
    <row r="16" spans="1:6" x14ac:dyDescent="0.25">
      <c r="A16">
        <v>15</v>
      </c>
      <c r="B16">
        <v>317967636000</v>
      </c>
      <c r="C16">
        <v>6947456634.9414587</v>
      </c>
      <c r="D16">
        <v>6947456634.9414587</v>
      </c>
      <c r="E16">
        <v>317967636000</v>
      </c>
      <c r="F16" t="s">
        <v>112</v>
      </c>
    </row>
    <row r="17" spans="1:6" x14ac:dyDescent="0.25">
      <c r="A17">
        <v>16</v>
      </c>
      <c r="B17">
        <v>317967636000</v>
      </c>
      <c r="C17">
        <v>6323727816.4630442</v>
      </c>
      <c r="D17">
        <v>6323727816.4630442</v>
      </c>
      <c r="E17">
        <v>317967636000</v>
      </c>
      <c r="F17" t="s">
        <v>112</v>
      </c>
    </row>
    <row r="18" spans="1:6" x14ac:dyDescent="0.25">
      <c r="A18">
        <v>17</v>
      </c>
      <c r="B18">
        <v>317967636000</v>
      </c>
      <c r="C18">
        <v>5759426798.9823742</v>
      </c>
      <c r="D18">
        <v>5759426798.9823742</v>
      </c>
      <c r="E18">
        <v>317967636000</v>
      </c>
      <c r="F18" t="s">
        <v>112</v>
      </c>
    </row>
    <row r="19" spans="1:6" x14ac:dyDescent="0.25">
      <c r="A19">
        <v>18</v>
      </c>
      <c r="B19">
        <v>317967636000</v>
      </c>
      <c r="C19">
        <v>5248365856.1106224</v>
      </c>
      <c r="D19">
        <v>5248365856.1106224</v>
      </c>
      <c r="E19">
        <v>317967636000</v>
      </c>
      <c r="F19" t="s">
        <v>112</v>
      </c>
    </row>
    <row r="20" spans="1:6" x14ac:dyDescent="0.25">
      <c r="A20">
        <v>19</v>
      </c>
      <c r="B20">
        <v>317967636000</v>
      </c>
      <c r="C20">
        <v>4785086681.3588457</v>
      </c>
      <c r="D20">
        <v>4785086681.3588457</v>
      </c>
      <c r="E20">
        <v>317967636000</v>
      </c>
      <c r="F20" t="s">
        <v>112</v>
      </c>
    </row>
    <row r="21" spans="1:6" x14ac:dyDescent="0.25">
      <c r="A21">
        <v>20</v>
      </c>
      <c r="B21">
        <v>317967636000</v>
      </c>
      <c r="C21">
        <v>4364759642.6410627</v>
      </c>
      <c r="D21">
        <v>4364759642.6410627</v>
      </c>
      <c r="E21">
        <v>317967636000</v>
      </c>
      <c r="F21" t="s">
        <v>112</v>
      </c>
    </row>
    <row r="22" spans="1:6" x14ac:dyDescent="0.25">
      <c r="A22">
        <v>21</v>
      </c>
      <c r="B22">
        <v>317967636000</v>
      </c>
      <c r="C22">
        <v>3983099793.7067351</v>
      </c>
      <c r="D22">
        <v>3983099793.7067351</v>
      </c>
      <c r="E22">
        <v>317967636000</v>
      </c>
      <c r="F22" t="s">
        <v>112</v>
      </c>
    </row>
    <row r="23" spans="1:6" x14ac:dyDescent="0.25">
      <c r="A23">
        <v>22</v>
      </c>
      <c r="B23">
        <v>317967636000</v>
      </c>
      <c r="C23">
        <v>3636296213.6501589</v>
      </c>
      <c r="D23">
        <v>3636296213.6501589</v>
      </c>
      <c r="E23">
        <v>317967636000</v>
      </c>
      <c r="F23" t="s">
        <v>112</v>
      </c>
    </row>
    <row r="24" spans="1:6" x14ac:dyDescent="0.25">
      <c r="A24">
        <v>23</v>
      </c>
      <c r="B24">
        <v>317967636000</v>
      </c>
      <c r="C24">
        <v>3320952119.4258208</v>
      </c>
      <c r="D24">
        <v>3320952119.4258208</v>
      </c>
      <c r="E24">
        <v>317967636000</v>
      </c>
      <c r="F24" t="s">
        <v>112</v>
      </c>
    </row>
    <row r="25" spans="1:6" x14ac:dyDescent="0.25">
      <c r="A25">
        <v>24</v>
      </c>
      <c r="B25">
        <v>317967636000</v>
      </c>
      <c r="C25">
        <v>3034033795.4727669</v>
      </c>
      <c r="D25">
        <v>3034033795.4727669</v>
      </c>
      <c r="E25">
        <v>317967636000</v>
      </c>
      <c r="F25" t="s">
        <v>112</v>
      </c>
    </row>
    <row r="26" spans="1:6" x14ac:dyDescent="0.25">
      <c r="A26">
        <v>25</v>
      </c>
      <c r="B26">
        <v>317967636000</v>
      </c>
      <c r="C26">
        <v>2772826812.0478678</v>
      </c>
      <c r="D26">
        <v>2772826812.0478678</v>
      </c>
      <c r="E26">
        <v>317967636000</v>
      </c>
      <c r="F26" t="s">
        <v>112</v>
      </c>
    </row>
    <row r="27" spans="1:6" x14ac:dyDescent="0.25">
      <c r="A27">
        <v>26</v>
      </c>
      <c r="B27">
        <v>317967636000</v>
      </c>
      <c r="C27">
        <v>2534898318.3769112</v>
      </c>
      <c r="D27">
        <v>2534898318.3769112</v>
      </c>
      <c r="E27">
        <v>317967636000</v>
      </c>
      <c r="F27" t="s">
        <v>112</v>
      </c>
    </row>
    <row r="28" spans="1:6" x14ac:dyDescent="0.25">
      <c r="A28">
        <v>27</v>
      </c>
      <c r="B28">
        <v>317967636000</v>
      </c>
      <c r="C28">
        <v>2318064433.848793</v>
      </c>
      <c r="D28">
        <v>2318064433.848793</v>
      </c>
      <c r="E28">
        <v>317967636000</v>
      </c>
      <c r="F28" t="s">
        <v>112</v>
      </c>
    </row>
    <row r="29" spans="1:6" x14ac:dyDescent="0.25">
      <c r="A29">
        <v>28</v>
      </c>
      <c r="B29">
        <v>317967636000</v>
      </c>
      <c r="C29">
        <v>2120361942.847095</v>
      </c>
      <c r="D29">
        <v>2120361942.847095</v>
      </c>
      <c r="E29">
        <v>317967636000</v>
      </c>
      <c r="F29" t="s">
        <v>112</v>
      </c>
    </row>
    <row r="30" spans="1:6" x14ac:dyDescent="0.25">
      <c r="A30">
        <v>29</v>
      </c>
      <c r="B30">
        <v>317967636000</v>
      </c>
      <c r="C30">
        <v>1940023641.398916</v>
      </c>
      <c r="D30">
        <v>1940023641.398916</v>
      </c>
      <c r="E30">
        <v>317967636000</v>
      </c>
      <c r="F30" t="s">
        <v>112</v>
      </c>
    </row>
    <row r="31" spans="1:6" x14ac:dyDescent="0.25">
      <c r="A31">
        <v>30</v>
      </c>
      <c r="B31">
        <v>317967636000</v>
      </c>
      <c r="C31">
        <v>1775456796.8275249</v>
      </c>
      <c r="D31">
        <v>1775456796.8275249</v>
      </c>
      <c r="E31">
        <v>317967636000</v>
      </c>
      <c r="F31" t="s">
        <v>112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1" topLeftCell="A2" activePane="bottomLeft" state="frozen"/>
      <selection pane="bottomLeft" activeCell="D20" sqref="D20"/>
    </sheetView>
  </sheetViews>
  <sheetFormatPr baseColWidth="10" defaultColWidth="9.140625" defaultRowHeight="15" x14ac:dyDescent="0.25"/>
  <cols>
    <col min="1" max="1" width="23" customWidth="1"/>
    <col min="2" max="2" width="20" customWidth="1"/>
    <col min="3" max="3" width="53" customWidth="1"/>
    <col min="4" max="4" width="34" customWidth="1"/>
    <col min="5" max="5" width="70" customWidth="1"/>
  </cols>
  <sheetData>
    <row r="1" spans="1:5" x14ac:dyDescent="0.25">
      <c r="A1" s="4" t="s">
        <v>113</v>
      </c>
      <c r="B1" s="4" t="s">
        <v>114</v>
      </c>
      <c r="C1" s="4" t="s">
        <v>115</v>
      </c>
      <c r="D1" s="4" t="s">
        <v>116</v>
      </c>
      <c r="E1" s="4" t="s">
        <v>61</v>
      </c>
    </row>
    <row r="2" spans="1:5" x14ac:dyDescent="0.25">
      <c r="A2" t="s">
        <v>117</v>
      </c>
      <c r="B2" t="s">
        <v>118</v>
      </c>
      <c r="C2" t="s">
        <v>119</v>
      </c>
      <c r="D2" t="e">
        <f>RevenusPlacements / BV_RS</f>
        <v>#NAME?</v>
      </c>
      <c r="E2" t="s">
        <v>120</v>
      </c>
    </row>
    <row r="3" spans="1:5" x14ac:dyDescent="0.25">
      <c r="A3" t="s">
        <v>117</v>
      </c>
      <c r="B3" t="s">
        <v>121</v>
      </c>
      <c r="C3" t="s">
        <v>122</v>
      </c>
      <c r="D3" t="e">
        <f>B3a/B1</f>
        <v>#NAME?</v>
      </c>
      <c r="E3" t="s">
        <v>123</v>
      </c>
    </row>
    <row r="4" spans="1:5" x14ac:dyDescent="0.25">
      <c r="A4" t="s">
        <v>124</v>
      </c>
      <c r="B4" t="s">
        <v>125</v>
      </c>
      <c r="C4" t="s">
        <v>126</v>
      </c>
      <c r="D4" t="e">
        <f>CRD_avg * r_eff</f>
        <v>#NAME?</v>
      </c>
      <c r="E4" t="s">
        <v>127</v>
      </c>
    </row>
    <row r="5" spans="1:5" x14ac:dyDescent="0.25">
      <c r="A5" t="s">
        <v>124</v>
      </c>
      <c r="B5" t="s">
        <v>128</v>
      </c>
      <c r="C5" t="s">
        <v>129</v>
      </c>
      <c r="D5" t="e">
        <f>Reserve_avg * r_cred_eff</f>
        <v>#NAME?</v>
      </c>
      <c r="E5" t="s">
        <v>130</v>
      </c>
    </row>
    <row r="6" spans="1:5" x14ac:dyDescent="0.25">
      <c r="A6" t="s">
        <v>131</v>
      </c>
      <c r="B6" t="s">
        <v>132</v>
      </c>
      <c r="C6" t="s">
        <v>133</v>
      </c>
      <c r="D6" t="e">
        <f>CRD_prev - Principal + Reinvest</f>
        <v>#NAME?</v>
      </c>
      <c r="E6" t="s">
        <v>134</v>
      </c>
    </row>
    <row r="7" spans="1:5" x14ac:dyDescent="0.25">
      <c r="A7" t="s">
        <v>135</v>
      </c>
      <c r="B7" t="s">
        <v>136</v>
      </c>
      <c r="C7" t="s">
        <v>137</v>
      </c>
      <c r="D7" t="e">
        <f>Res_prev - Benefits + NewMoney</f>
        <v>#NAME?</v>
      </c>
      <c r="E7" t="s">
        <v>138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Actif-passif sensible</vt:lpstr>
      <vt:lpstr>CF_1-30</vt:lpstr>
      <vt:lpstr>PV_EVE_Base_Up_Down</vt:lpstr>
      <vt:lpstr>Discount_Factors</vt:lpstr>
      <vt:lpstr>EIR_From_PnL</vt:lpstr>
      <vt:lpstr>CRD_Assets_Annual</vt:lpstr>
      <vt:lpstr>CRD_Liabs_Annual</vt:lpstr>
      <vt:lpstr>Calc_Dictionary_EIR_CRD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Tchidah Ndiaye</dc:creator>
  <cp:lastModifiedBy>Tchidah Ndiaye</cp:lastModifiedBy>
  <dcterms:created xsi:type="dcterms:W3CDTF">2026-02-17T09:43:59Z</dcterms:created>
  <dcterms:modified xsi:type="dcterms:W3CDTF">2026-02-17T10:36:51Z</dcterms:modified>
</cp:coreProperties>
</file>